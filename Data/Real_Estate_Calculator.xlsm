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customProperty2.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730" codeName="{B08E4597-CF32-672E-EC9B-63DB714DCB7F}"/>
  <workbookPr showInkAnnotation="0" codeName="DieseArbeitsmappe" autoCompressPictures="0"/>
  <mc:AlternateContent xmlns:mc="http://schemas.openxmlformats.org/markup-compatibility/2006">
    <mc:Choice Requires="x15">
      <x15ac:absPath xmlns:x15ac="http://schemas.microsoft.com/office/spreadsheetml/2010/11/ac" url="D:\NAS\Dimitri\Projekte - Privat\Machine Learning\Real Estate\ImmoBuyPredict\Data\"/>
    </mc:Choice>
  </mc:AlternateContent>
  <xr:revisionPtr revIDLastSave="0" documentId="13_ncr:1_{87A9668B-D786-4685-8BBB-95063107B5D8}" xr6:coauthVersionLast="45" xr6:coauthVersionMax="45" xr10:uidLastSave="{00000000-0000-0000-0000-000000000000}"/>
  <bookViews>
    <workbookView xWindow="-120" yWindow="-120" windowWidth="29040" windowHeight="15840" tabRatio="731" xr2:uid="{00000000-000D-0000-FFFF-FFFF00000000}"/>
  </bookViews>
  <sheets>
    <sheet name="KeyFigures" sheetId="3" r:id="rId1"/>
    <sheet name="Scraper_XL" sheetId="9" r:id="rId2"/>
    <sheet name="Annuitaet" sheetId="7" r:id="rId3"/>
    <sheet name="MD - Miete pro m2" sheetId="2" r:id="rId4"/>
  </sheets>
  <definedNames>
    <definedName name="_xlnm._FilterDatabase" localSheetId="1" hidden="1">Scraper_XL!$A$2:$AO$69</definedName>
    <definedName name="Beg_Bal">#REF!</definedName>
    <definedName name="End_Bal">#REF!</definedName>
    <definedName name="Extra_Pay">#REF!</definedName>
    <definedName name="Int">#REF!</definedName>
    <definedName name="Interest_Rate">#REF!</definedName>
    <definedName name="Loan_Amount">#REF!</definedName>
    <definedName name="Loan_Start">#REF!</definedName>
    <definedName name="Loan_Years">#REF!</definedName>
    <definedName name="Number_of_Payments">MATCH(0.01,End_Bal,-1)+1</definedName>
    <definedName name="Pay_Num">#REF!</definedName>
    <definedName name="Princ">#REF!</definedName>
    <definedName name="Sched_Pay">#REF!</definedName>
    <definedName name="Scheduled_Extra_Payments">#REF!</definedName>
    <definedName name="Scheduled_Monthly_Payment">#REF!</definedName>
    <definedName name="Total_Pay">#REF!</definedName>
    <definedName name="Values_Entered">IF(Loan_Amount*Interest_Rate*Loan_Years*Loan_Start&gt;0,1,0)</definedName>
  </definedNames>
  <calcPr calcId="181029"/>
  <extLs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C10" i="3" l="1"/>
  <c r="D21" i="3" l="1"/>
  <c r="D20" i="3"/>
  <c r="D19" i="3"/>
  <c r="D18" i="3"/>
  <c r="E51" i="3" l="1"/>
  <c r="C53" i="3"/>
  <c r="D42" i="3"/>
  <c r="C42" i="3" s="1"/>
  <c r="C21" i="3"/>
  <c r="C20" i="3"/>
  <c r="C19" i="3"/>
  <c r="C18" i="3"/>
  <c r="C17" i="3"/>
  <c r="C13" i="3"/>
  <c r="C12" i="3"/>
  <c r="C11" i="3"/>
  <c r="C7" i="3"/>
  <c r="C5" i="3"/>
  <c r="C4" i="3"/>
  <c r="C3" i="3"/>
  <c r="C51" i="3" l="1"/>
  <c r="D22" i="3"/>
  <c r="D39" i="3" l="1"/>
  <c r="D3" i="7"/>
  <c r="B9" i="7" l="1"/>
  <c r="B10" i="7" l="1"/>
  <c r="B11" i="7" l="1"/>
  <c r="B12" i="7" l="1"/>
  <c r="D26" i="3"/>
  <c r="D4" i="7" l="1"/>
  <c r="G3" i="7" s="1"/>
  <c r="B13" i="7"/>
  <c r="B14" i="7" l="1"/>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4" i="2"/>
  <c r="C39" i="3"/>
  <c r="B15" i="7" l="1"/>
  <c r="D51" i="3"/>
  <c r="D52" i="3"/>
  <c r="B16" i="7" l="1"/>
  <c r="C52" i="3"/>
  <c r="C22" i="3"/>
  <c r="C54" i="3" l="1"/>
  <c r="B17" i="7"/>
  <c r="G7" i="3"/>
  <c r="C36" i="3"/>
  <c r="C25" i="3"/>
  <c r="B18" i="7" l="1"/>
  <c r="C26" i="3"/>
  <c r="C55" i="3" s="1"/>
  <c r="D5" i="7" l="1"/>
  <c r="C8" i="7" s="1"/>
  <c r="D8" i="7" s="1"/>
  <c r="H8" i="7" s="1"/>
  <c r="C43" i="3" s="1"/>
  <c r="G13" i="3" s="1"/>
  <c r="B19" i="7"/>
  <c r="H13" i="3" l="1"/>
  <c r="F3" i="7"/>
  <c r="F18" i="7" s="1"/>
  <c r="J18" i="7" s="1"/>
  <c r="B20" i="7"/>
  <c r="F13" i="7" l="1"/>
  <c r="J13" i="7" s="1"/>
  <c r="F10" i="7"/>
  <c r="J10" i="7" s="1"/>
  <c r="F9" i="7"/>
  <c r="J9" i="7" s="1"/>
  <c r="F17" i="7"/>
  <c r="J17" i="7" s="1"/>
  <c r="F14" i="7"/>
  <c r="J14" i="7" s="1"/>
  <c r="F16" i="7"/>
  <c r="J16" i="7" s="1"/>
  <c r="F12" i="7"/>
  <c r="J12" i="7" s="1"/>
  <c r="F8" i="7"/>
  <c r="E8" i="7" s="1"/>
  <c r="F15" i="7"/>
  <c r="J15" i="7" s="1"/>
  <c r="F11" i="7"/>
  <c r="J11" i="7" s="1"/>
  <c r="F19" i="7"/>
  <c r="J19" i="7" s="1"/>
  <c r="F20" i="7"/>
  <c r="J20" i="7" s="1"/>
  <c r="B21" i="7"/>
  <c r="J8" i="7" l="1"/>
  <c r="C30" i="3" s="1"/>
  <c r="G8" i="7"/>
  <c r="C9" i="7" s="1"/>
  <c r="J1" i="7"/>
  <c r="D29" i="3" s="1"/>
  <c r="I8" i="7"/>
  <c r="C44" i="3" s="1"/>
  <c r="B22" i="7"/>
  <c r="F21" i="7"/>
  <c r="J21" i="7" s="1"/>
  <c r="C56" i="3" l="1"/>
  <c r="D56" i="3" s="1"/>
  <c r="E56" i="3" s="1"/>
  <c r="G14" i="3"/>
  <c r="H14" i="3" s="1"/>
  <c r="B23" i="7"/>
  <c r="F22" i="7"/>
  <c r="J22" i="7" s="1"/>
  <c r="D9" i="7"/>
  <c r="H9" i="7" l="1"/>
  <c r="E9" i="7"/>
  <c r="F23" i="7"/>
  <c r="J23" i="7" s="1"/>
  <c r="B24" i="7"/>
  <c r="B25" i="7" l="1"/>
  <c r="F24" i="7"/>
  <c r="J24" i="7" s="1"/>
  <c r="I9" i="7"/>
  <c r="G9" i="7"/>
  <c r="C10" i="7" s="1"/>
  <c r="D10" i="7" l="1"/>
  <c r="B26" i="7"/>
  <c r="F25" i="7"/>
  <c r="J25" i="7" s="1"/>
  <c r="F26" i="7" l="1"/>
  <c r="J26" i="7" s="1"/>
  <c r="B27" i="7"/>
  <c r="H10" i="7"/>
  <c r="E10" i="7"/>
  <c r="I10" i="7" l="1"/>
  <c r="G10" i="7"/>
  <c r="C11" i="7" s="1"/>
  <c r="F27" i="7"/>
  <c r="J27" i="7" s="1"/>
  <c r="B28" i="7"/>
  <c r="D11" i="7" l="1"/>
  <c r="B29" i="7"/>
  <c r="F28" i="7"/>
  <c r="J28" i="7" s="1"/>
  <c r="B30" i="7" l="1"/>
  <c r="F29" i="7"/>
  <c r="J29" i="7" s="1"/>
  <c r="H11" i="7"/>
  <c r="E11" i="7"/>
  <c r="I11" i="7" l="1"/>
  <c r="G11" i="7"/>
  <c r="C12" i="7" s="1"/>
  <c r="F30" i="7"/>
  <c r="J30" i="7" s="1"/>
  <c r="B31" i="7"/>
  <c r="D12" i="7" l="1"/>
  <c r="B32" i="7"/>
  <c r="F31" i="7"/>
  <c r="J31" i="7" s="1"/>
  <c r="B33" i="7" l="1"/>
  <c r="F32" i="7"/>
  <c r="J32" i="7" s="1"/>
  <c r="H12" i="7"/>
  <c r="E12" i="7"/>
  <c r="I12" i="7" l="1"/>
  <c r="G12" i="7"/>
  <c r="C13" i="7" s="1"/>
  <c r="F33" i="7"/>
  <c r="J33" i="7" s="1"/>
  <c r="B34" i="7"/>
  <c r="F34" i="7" l="1"/>
  <c r="J34" i="7" s="1"/>
  <c r="B35" i="7"/>
  <c r="D13" i="7"/>
  <c r="H13" i="7" l="1"/>
  <c r="E13" i="7"/>
  <c r="B36" i="7"/>
  <c r="F35" i="7"/>
  <c r="J35" i="7" s="1"/>
  <c r="B37" i="7" l="1"/>
  <c r="F36" i="7"/>
  <c r="J36" i="7" s="1"/>
  <c r="I13" i="7"/>
  <c r="G13" i="7"/>
  <c r="C14" i="7" s="1"/>
  <c r="D14" i="7" l="1"/>
  <c r="B38" i="7"/>
  <c r="F37" i="7"/>
  <c r="J37" i="7" s="1"/>
  <c r="B39" i="7" l="1"/>
  <c r="F38" i="7"/>
  <c r="J38" i="7" s="1"/>
  <c r="E14" i="7"/>
  <c r="H14" i="7"/>
  <c r="I14" i="7" l="1"/>
  <c r="G14" i="7"/>
  <c r="C15" i="7" s="1"/>
  <c r="F39" i="7"/>
  <c r="J39" i="7" s="1"/>
  <c r="B40" i="7"/>
  <c r="B41" i="7" l="1"/>
  <c r="F40" i="7"/>
  <c r="J40" i="7" s="1"/>
  <c r="D15" i="7"/>
  <c r="H15" i="7" l="1"/>
  <c r="E15" i="7"/>
  <c r="F41" i="7"/>
  <c r="J41" i="7" s="1"/>
  <c r="B42" i="7"/>
  <c r="B43" i="7" l="1"/>
  <c r="F42" i="7"/>
  <c r="J42" i="7" s="1"/>
  <c r="I15" i="7"/>
  <c r="G15" i="7"/>
  <c r="C16" i="7" s="1"/>
  <c r="D16" i="7" l="1"/>
  <c r="B44" i="7"/>
  <c r="F43" i="7"/>
  <c r="J43" i="7" s="1"/>
  <c r="B45" i="7" l="1"/>
  <c r="F44" i="7"/>
  <c r="J44" i="7" s="1"/>
  <c r="H16" i="7"/>
  <c r="E16" i="7"/>
  <c r="I16" i="7" l="1"/>
  <c r="G16" i="7"/>
  <c r="C17" i="7" s="1"/>
  <c r="B46" i="7"/>
  <c r="F45" i="7"/>
  <c r="J45" i="7" s="1"/>
  <c r="F46" i="7" l="1"/>
  <c r="J46" i="7" s="1"/>
  <c r="B47" i="7"/>
  <c r="D17" i="7"/>
  <c r="E17" i="7" l="1"/>
  <c r="H17" i="7"/>
  <c r="F47" i="7"/>
  <c r="J47" i="7" s="1"/>
  <c r="B48" i="7"/>
  <c r="G48" i="7" l="1"/>
  <c r="F48" i="7"/>
  <c r="J48" i="7" s="1"/>
  <c r="C48" i="7"/>
  <c r="B49" i="7"/>
  <c r="I17" i="7"/>
  <c r="G17" i="7"/>
  <c r="C18" i="7" s="1"/>
  <c r="G49" i="7" l="1"/>
  <c r="C49" i="7"/>
  <c r="B50" i="7"/>
  <c r="E49" i="7"/>
  <c r="I49" i="7" s="1"/>
  <c r="D49" i="7"/>
  <c r="H49" i="7" s="1"/>
  <c r="F49" i="7"/>
  <c r="J49" i="7" s="1"/>
  <c r="D18" i="7"/>
  <c r="E18" i="7" l="1"/>
  <c r="H18" i="7"/>
  <c r="E50" i="7"/>
  <c r="I50" i="7" s="1"/>
  <c r="F50" i="7"/>
  <c r="J50" i="7" s="1"/>
  <c r="B51" i="7"/>
  <c r="D50" i="7"/>
  <c r="H50" i="7" s="1"/>
  <c r="G50" i="7"/>
  <c r="C50" i="7"/>
  <c r="G51" i="7" l="1"/>
  <c r="C51" i="7"/>
  <c r="B52" i="7"/>
  <c r="F51" i="7"/>
  <c r="J51" i="7" s="1"/>
  <c r="D51" i="7"/>
  <c r="H51" i="7" s="1"/>
  <c r="E51" i="7"/>
  <c r="I51" i="7" s="1"/>
  <c r="I18" i="7"/>
  <c r="G18" i="7"/>
  <c r="C19" i="7" s="1"/>
  <c r="D19" i="7" l="1"/>
  <c r="E52" i="7"/>
  <c r="I52" i="7" s="1"/>
  <c r="G52" i="7"/>
  <c r="F52" i="7"/>
  <c r="J52" i="7" s="1"/>
  <c r="B53" i="7"/>
  <c r="C52" i="7"/>
  <c r="D52" i="7"/>
  <c r="H52" i="7" s="1"/>
  <c r="D53" i="7" l="1"/>
  <c r="H53" i="7" s="1"/>
  <c r="E53" i="7"/>
  <c r="I53" i="7" s="1"/>
  <c r="G53" i="7"/>
  <c r="B54" i="7"/>
  <c r="F53" i="7"/>
  <c r="J53" i="7" s="1"/>
  <c r="C53" i="7"/>
  <c r="E19" i="7"/>
  <c r="H19" i="7"/>
  <c r="E54" i="7" l="1"/>
  <c r="I54" i="7" s="1"/>
  <c r="G54" i="7"/>
  <c r="F54" i="7"/>
  <c r="J54" i="7" s="1"/>
  <c r="B55" i="7"/>
  <c r="C54" i="7"/>
  <c r="D54" i="7"/>
  <c r="H54" i="7" s="1"/>
  <c r="I19" i="7"/>
  <c r="G19" i="7"/>
  <c r="C20" i="7" s="1"/>
  <c r="D20" i="7" l="1"/>
  <c r="G55" i="7"/>
  <c r="C55" i="7"/>
  <c r="B56" i="7"/>
  <c r="F55" i="7"/>
  <c r="J55" i="7" s="1"/>
  <c r="D55" i="7"/>
  <c r="H55" i="7" s="1"/>
  <c r="E55" i="7"/>
  <c r="I55" i="7" s="1"/>
  <c r="E56" i="7" l="1"/>
  <c r="I56" i="7" s="1"/>
  <c r="B57" i="7"/>
  <c r="F56" i="7"/>
  <c r="J56" i="7" s="1"/>
  <c r="D56" i="7"/>
  <c r="H56" i="7" s="1"/>
  <c r="C56" i="7"/>
  <c r="G56" i="7"/>
  <c r="H20" i="7"/>
  <c r="E20" i="7"/>
  <c r="I20" i="7" l="1"/>
  <c r="G20" i="7"/>
  <c r="C21" i="7" s="1"/>
  <c r="G57" i="7"/>
  <c r="C57" i="7"/>
  <c r="B58" i="7"/>
  <c r="E57" i="7"/>
  <c r="I57" i="7" s="1"/>
  <c r="D57" i="7"/>
  <c r="H57" i="7" s="1"/>
  <c r="F57" i="7"/>
  <c r="J57" i="7" s="1"/>
  <c r="D21" i="7" l="1"/>
  <c r="F58" i="7"/>
  <c r="J58" i="7" s="1"/>
  <c r="D58" i="7"/>
  <c r="H58" i="7" s="1"/>
  <c r="C58" i="7"/>
  <c r="G58" i="7"/>
  <c r="B59" i="7"/>
  <c r="E58" i="7"/>
  <c r="I58" i="7" s="1"/>
  <c r="G59" i="7" l="1"/>
  <c r="C59" i="7"/>
  <c r="B60" i="7"/>
  <c r="E59" i="7"/>
  <c r="I59" i="7" s="1"/>
  <c r="D59" i="7"/>
  <c r="H59" i="7" s="1"/>
  <c r="F59" i="7"/>
  <c r="J59" i="7" s="1"/>
  <c r="H21" i="7"/>
  <c r="E21" i="7"/>
  <c r="I21" i="7" l="1"/>
  <c r="G21" i="7"/>
  <c r="C22" i="7" s="1"/>
  <c r="E60" i="7"/>
  <c r="I60" i="7" s="1"/>
  <c r="B61" i="7"/>
  <c r="F60" i="7"/>
  <c r="J60" i="7" s="1"/>
  <c r="D60" i="7"/>
  <c r="H60" i="7" s="1"/>
  <c r="C60" i="7"/>
  <c r="G60" i="7"/>
  <c r="G61" i="7" l="1"/>
  <c r="C61" i="7"/>
  <c r="B62" i="7"/>
  <c r="E61" i="7"/>
  <c r="I61" i="7" s="1"/>
  <c r="D61" i="7"/>
  <c r="H61" i="7" s="1"/>
  <c r="F61" i="7"/>
  <c r="J61" i="7" s="1"/>
  <c r="D22" i="7"/>
  <c r="E22" i="7" l="1"/>
  <c r="H22" i="7"/>
  <c r="E62" i="7"/>
  <c r="I62" i="7" s="1"/>
  <c r="B63" i="7"/>
  <c r="F62" i="7"/>
  <c r="J62" i="7" s="1"/>
  <c r="D62" i="7"/>
  <c r="H62" i="7" s="1"/>
  <c r="C62" i="7"/>
  <c r="G62" i="7"/>
  <c r="C63" i="7" l="1"/>
  <c r="G63" i="7"/>
  <c r="B64" i="7"/>
  <c r="E63" i="7"/>
  <c r="I63" i="7" s="1"/>
  <c r="D63" i="7"/>
  <c r="H63" i="7" s="1"/>
  <c r="F63" i="7"/>
  <c r="J63" i="7" s="1"/>
  <c r="I22" i="7"/>
  <c r="G22" i="7"/>
  <c r="C23" i="7" s="1"/>
  <c r="D23" i="7" l="1"/>
  <c r="E64" i="7"/>
  <c r="I64" i="7" s="1"/>
  <c r="D64" i="7"/>
  <c r="H64" i="7" s="1"/>
  <c r="B65" i="7"/>
  <c r="F64" i="7"/>
  <c r="J64" i="7" s="1"/>
  <c r="G64" i="7"/>
  <c r="C64" i="7"/>
  <c r="G65" i="7" l="1"/>
  <c r="C65" i="7"/>
  <c r="B66" i="7"/>
  <c r="E65" i="7"/>
  <c r="I65" i="7" s="1"/>
  <c r="D65" i="7"/>
  <c r="H65" i="7" s="1"/>
  <c r="F65" i="7"/>
  <c r="J65" i="7" s="1"/>
  <c r="H23" i="7"/>
  <c r="E23" i="7"/>
  <c r="I23" i="7" l="1"/>
  <c r="G23" i="7"/>
  <c r="C24" i="7" s="1"/>
  <c r="F66" i="7"/>
  <c r="J66" i="7" s="1"/>
  <c r="B67" i="7"/>
  <c r="G66" i="7"/>
  <c r="E66" i="7"/>
  <c r="I66" i="7" s="1"/>
  <c r="C66" i="7"/>
  <c r="D66" i="7"/>
  <c r="H66" i="7" s="1"/>
  <c r="D67" i="7" l="1"/>
  <c r="H67" i="7" s="1"/>
  <c r="C67" i="7"/>
  <c r="E67" i="7"/>
  <c r="I67" i="7" s="1"/>
  <c r="F67" i="7"/>
  <c r="J67" i="7" s="1"/>
  <c r="B68" i="7"/>
  <c r="G67" i="7"/>
  <c r="D24" i="7"/>
  <c r="E24" i="7" l="1"/>
  <c r="H24" i="7"/>
  <c r="G68" i="7"/>
  <c r="B69" i="7"/>
  <c r="C68" i="7"/>
  <c r="D68" i="7"/>
  <c r="H68" i="7" s="1"/>
  <c r="F68" i="7"/>
  <c r="J68" i="7" s="1"/>
  <c r="E68" i="7"/>
  <c r="I68" i="7" s="1"/>
  <c r="D69" i="7" l="1"/>
  <c r="H69" i="7" s="1"/>
  <c r="G69" i="7"/>
  <c r="E69" i="7"/>
  <c r="I69" i="7" s="1"/>
  <c r="F69" i="7"/>
  <c r="J69" i="7" s="1"/>
  <c r="B70" i="7"/>
  <c r="C69" i="7"/>
  <c r="I24" i="7"/>
  <c r="G24" i="7"/>
  <c r="C25" i="7" s="1"/>
  <c r="D25" i="7" l="1"/>
  <c r="F70" i="7"/>
  <c r="J70" i="7" s="1"/>
  <c r="B71" i="7"/>
  <c r="G70" i="7"/>
  <c r="E70" i="7"/>
  <c r="I70" i="7" s="1"/>
  <c r="C70" i="7"/>
  <c r="D70" i="7"/>
  <c r="H70" i="7" s="1"/>
  <c r="C71" i="7" l="1"/>
  <c r="E71" i="7"/>
  <c r="I71" i="7" s="1"/>
  <c r="F71" i="7"/>
  <c r="J71" i="7" s="1"/>
  <c r="B72" i="7"/>
  <c r="G71" i="7"/>
  <c r="D71" i="7"/>
  <c r="H71" i="7" s="1"/>
  <c r="H25" i="7"/>
  <c r="E25" i="7"/>
  <c r="I25" i="7" l="1"/>
  <c r="G25" i="7"/>
  <c r="C26" i="7" s="1"/>
  <c r="F72" i="7"/>
  <c r="J72" i="7" s="1"/>
  <c r="E72" i="7"/>
  <c r="I72" i="7" s="1"/>
  <c r="C72" i="7"/>
  <c r="B73" i="7"/>
  <c r="G72" i="7"/>
  <c r="D72" i="7"/>
  <c r="H72" i="7" s="1"/>
  <c r="D73" i="7" l="1"/>
  <c r="H73" i="7" s="1"/>
  <c r="G73" i="7"/>
  <c r="E73" i="7"/>
  <c r="I73" i="7" s="1"/>
  <c r="F73" i="7"/>
  <c r="J73" i="7" s="1"/>
  <c r="B74" i="7"/>
  <c r="C73" i="7"/>
  <c r="D26" i="7"/>
  <c r="E26" i="7" l="1"/>
  <c r="H26" i="7"/>
  <c r="B75" i="7"/>
  <c r="G74" i="7"/>
  <c r="D74" i="7"/>
  <c r="H74" i="7" s="1"/>
  <c r="F74" i="7"/>
  <c r="J74" i="7" s="1"/>
  <c r="C74" i="7"/>
  <c r="E74" i="7"/>
  <c r="I74" i="7" s="1"/>
  <c r="D75" i="7" l="1"/>
  <c r="H75" i="7" s="1"/>
  <c r="E75" i="7"/>
  <c r="I75" i="7" s="1"/>
  <c r="F75" i="7"/>
  <c r="J75" i="7" s="1"/>
  <c r="C75" i="7"/>
  <c r="B76" i="7"/>
  <c r="G75" i="7"/>
  <c r="I26" i="7"/>
  <c r="G26" i="7"/>
  <c r="C27" i="7" s="1"/>
  <c r="D27" i="7" l="1"/>
  <c r="F76" i="7"/>
  <c r="J76" i="7" s="1"/>
  <c r="E76" i="7"/>
  <c r="I76" i="7" s="1"/>
  <c r="G76" i="7"/>
  <c r="B77" i="7"/>
  <c r="C76" i="7"/>
  <c r="D76" i="7"/>
  <c r="H76" i="7" s="1"/>
  <c r="D77" i="7" l="1"/>
  <c r="H77" i="7" s="1"/>
  <c r="G77" i="7"/>
  <c r="E77" i="7"/>
  <c r="I77" i="7" s="1"/>
  <c r="B78" i="7"/>
  <c r="F77" i="7"/>
  <c r="J77" i="7" s="1"/>
  <c r="C77" i="7"/>
  <c r="H27" i="7"/>
  <c r="E27" i="7"/>
  <c r="I27" i="7" l="1"/>
  <c r="G27" i="7"/>
  <c r="C28" i="7" s="1"/>
  <c r="F78" i="7"/>
  <c r="J78" i="7" s="1"/>
  <c r="E78" i="7"/>
  <c r="I78" i="7" s="1"/>
  <c r="G78" i="7"/>
  <c r="B79" i="7"/>
  <c r="C78" i="7"/>
  <c r="D78" i="7"/>
  <c r="H78" i="7" s="1"/>
  <c r="D79" i="7" l="1"/>
  <c r="H79" i="7" s="1"/>
  <c r="E79" i="7"/>
  <c r="I79" i="7" s="1"/>
  <c r="C79" i="7"/>
  <c r="G79" i="7"/>
  <c r="B80" i="7"/>
  <c r="F79" i="7"/>
  <c r="J79" i="7" s="1"/>
  <c r="D28" i="7"/>
  <c r="E28" i="7" l="1"/>
  <c r="H28" i="7"/>
  <c r="F80" i="7"/>
  <c r="J80" i="7" s="1"/>
  <c r="E80" i="7"/>
  <c r="I80" i="7" s="1"/>
  <c r="G80" i="7"/>
  <c r="B81" i="7"/>
  <c r="C80" i="7"/>
  <c r="D80" i="7"/>
  <c r="H80" i="7" s="1"/>
  <c r="D81" i="7" l="1"/>
  <c r="H81" i="7" s="1"/>
  <c r="G81" i="7"/>
  <c r="E81" i="7"/>
  <c r="I81" i="7" s="1"/>
  <c r="C81" i="7"/>
  <c r="B82" i="7"/>
  <c r="F81" i="7"/>
  <c r="J81" i="7" s="1"/>
  <c r="I28" i="7"/>
  <c r="G28" i="7"/>
  <c r="C29" i="7" s="1"/>
  <c r="D29" i="7" l="1"/>
  <c r="F82" i="7"/>
  <c r="J82" i="7" s="1"/>
  <c r="E82" i="7"/>
  <c r="I82" i="7" s="1"/>
  <c r="G82" i="7"/>
  <c r="D82" i="7"/>
  <c r="H82" i="7" s="1"/>
  <c r="C82" i="7"/>
  <c r="B83" i="7"/>
  <c r="D83" i="7" l="1"/>
  <c r="H83" i="7" s="1"/>
  <c r="F83" i="7"/>
  <c r="J83" i="7" s="1"/>
  <c r="G83" i="7"/>
  <c r="E83" i="7"/>
  <c r="I83" i="7" s="1"/>
  <c r="C83" i="7"/>
  <c r="B84" i="7"/>
  <c r="H29" i="7"/>
  <c r="E29" i="7"/>
  <c r="I29" i="7" l="1"/>
  <c r="G29" i="7"/>
  <c r="C30" i="7" s="1"/>
  <c r="F84" i="7"/>
  <c r="J84" i="7" s="1"/>
  <c r="E84" i="7"/>
  <c r="I84" i="7" s="1"/>
  <c r="G84" i="7"/>
  <c r="C84" i="7"/>
  <c r="D84" i="7"/>
  <c r="H84" i="7" s="1"/>
  <c r="B85" i="7"/>
  <c r="G85" i="7" l="1"/>
  <c r="E85" i="7"/>
  <c r="I85" i="7" s="1"/>
  <c r="C85" i="7"/>
  <c r="B86" i="7"/>
  <c r="F85" i="7"/>
  <c r="J85" i="7" s="1"/>
  <c r="D85" i="7"/>
  <c r="H85" i="7" s="1"/>
  <c r="D30" i="7"/>
  <c r="F86" i="7" l="1"/>
  <c r="J86" i="7" s="1"/>
  <c r="E86" i="7"/>
  <c r="I86" i="7" s="1"/>
  <c r="G86" i="7"/>
  <c r="B87" i="7"/>
  <c r="C86" i="7"/>
  <c r="D86" i="7"/>
  <c r="H86" i="7" s="1"/>
  <c r="E30" i="7"/>
  <c r="H30" i="7"/>
  <c r="D87" i="7" l="1"/>
  <c r="H87" i="7" s="1"/>
  <c r="G87" i="7"/>
  <c r="E87" i="7"/>
  <c r="I87" i="7" s="1"/>
  <c r="C87" i="7"/>
  <c r="B88" i="7"/>
  <c r="F87" i="7"/>
  <c r="J87" i="7" s="1"/>
  <c r="I30" i="7"/>
  <c r="G30" i="7"/>
  <c r="C31" i="7" s="1"/>
  <c r="D31" i="7" l="1"/>
  <c r="E88" i="7"/>
  <c r="I88" i="7" s="1"/>
  <c r="G88" i="7"/>
  <c r="D88" i="7"/>
  <c r="H88" i="7" s="1"/>
  <c r="C88" i="7"/>
  <c r="B89" i="7"/>
  <c r="F88" i="7"/>
  <c r="J88" i="7" s="1"/>
  <c r="D89" i="7" l="1"/>
  <c r="H89" i="7" s="1"/>
  <c r="E89" i="7"/>
  <c r="I89" i="7" s="1"/>
  <c r="C89" i="7"/>
  <c r="G89" i="7"/>
  <c r="B90" i="7"/>
  <c r="F89" i="7"/>
  <c r="J89" i="7" s="1"/>
  <c r="H31" i="7"/>
  <c r="E31" i="7"/>
  <c r="I31" i="7" l="1"/>
  <c r="G31" i="7"/>
  <c r="C32" i="7" s="1"/>
  <c r="F90" i="7"/>
  <c r="J90" i="7" s="1"/>
  <c r="E90" i="7"/>
  <c r="I90" i="7" s="1"/>
  <c r="G90" i="7"/>
  <c r="D90" i="7"/>
  <c r="H90" i="7" s="1"/>
  <c r="C90" i="7"/>
  <c r="B91" i="7"/>
  <c r="G91" i="7" l="1"/>
  <c r="B92" i="7"/>
  <c r="F91" i="7"/>
  <c r="J91" i="7" s="1"/>
  <c r="D91" i="7"/>
  <c r="H91" i="7" s="1"/>
  <c r="E91" i="7"/>
  <c r="I91" i="7" s="1"/>
  <c r="C91" i="7"/>
  <c r="D32" i="7"/>
  <c r="E32" i="7" l="1"/>
  <c r="H32" i="7"/>
  <c r="F92" i="7"/>
  <c r="J92" i="7" s="1"/>
  <c r="E92" i="7"/>
  <c r="I92" i="7" s="1"/>
  <c r="C92" i="7"/>
  <c r="D92" i="7"/>
  <c r="H92" i="7" s="1"/>
  <c r="G92" i="7"/>
  <c r="B93" i="7"/>
  <c r="D93" i="7" l="1"/>
  <c r="H93" i="7" s="1"/>
  <c r="G93" i="7"/>
  <c r="B94" i="7"/>
  <c r="E93" i="7"/>
  <c r="I93" i="7" s="1"/>
  <c r="C93" i="7"/>
  <c r="F93" i="7"/>
  <c r="J93" i="7" s="1"/>
  <c r="I32" i="7"/>
  <c r="G32" i="7"/>
  <c r="C33" i="7" s="1"/>
  <c r="D33" i="7" l="1"/>
  <c r="C94" i="7"/>
  <c r="D94" i="7"/>
  <c r="H94" i="7" s="1"/>
  <c r="E94" i="7"/>
  <c r="I94" i="7" s="1"/>
  <c r="G94" i="7"/>
  <c r="F94" i="7"/>
  <c r="J94" i="7" s="1"/>
  <c r="B95" i="7"/>
  <c r="D95" i="7" l="1"/>
  <c r="H95" i="7" s="1"/>
  <c r="G95" i="7"/>
  <c r="E95" i="7"/>
  <c r="I95" i="7" s="1"/>
  <c r="C95" i="7"/>
  <c r="B96" i="7"/>
  <c r="F95" i="7"/>
  <c r="J95" i="7" s="1"/>
  <c r="H33" i="7"/>
  <c r="E33" i="7"/>
  <c r="I33" i="7" l="1"/>
  <c r="G33" i="7"/>
  <c r="C34" i="7" s="1"/>
  <c r="F96" i="7"/>
  <c r="J96" i="7" s="1"/>
  <c r="E96" i="7"/>
  <c r="I96" i="7" s="1"/>
  <c r="G96" i="7"/>
  <c r="B97" i="7"/>
  <c r="C96" i="7"/>
  <c r="D96" i="7"/>
  <c r="H96" i="7" s="1"/>
  <c r="G97" i="7" l="1"/>
  <c r="C97" i="7"/>
  <c r="E97" i="7"/>
  <c r="I97" i="7" s="1"/>
  <c r="F97" i="7"/>
  <c r="J97" i="7" s="1"/>
  <c r="B98" i="7"/>
  <c r="D97" i="7"/>
  <c r="H97" i="7" s="1"/>
  <c r="D34" i="7"/>
  <c r="E34" i="7" l="1"/>
  <c r="H34" i="7"/>
  <c r="F98" i="7"/>
  <c r="J98" i="7" s="1"/>
  <c r="E98" i="7"/>
  <c r="I98" i="7" s="1"/>
  <c r="G98" i="7"/>
  <c r="D98" i="7"/>
  <c r="H98" i="7" s="1"/>
  <c r="C98" i="7"/>
  <c r="B99" i="7"/>
  <c r="D99" i="7" l="1"/>
  <c r="H99" i="7" s="1"/>
  <c r="G99" i="7"/>
  <c r="B100" i="7"/>
  <c r="F99" i="7"/>
  <c r="J99" i="7" s="1"/>
  <c r="E99" i="7"/>
  <c r="I99" i="7" s="1"/>
  <c r="C99" i="7"/>
  <c r="I34" i="7"/>
  <c r="G34" i="7"/>
  <c r="C35" i="7" s="1"/>
  <c r="F100" i="7" l="1"/>
  <c r="J100" i="7" s="1"/>
  <c r="E100" i="7"/>
  <c r="I100" i="7" s="1"/>
  <c r="G100" i="7"/>
  <c r="B101" i="7"/>
  <c r="C100" i="7"/>
  <c r="D100" i="7"/>
  <c r="H100" i="7" s="1"/>
  <c r="D35" i="7"/>
  <c r="D101" i="7" l="1"/>
  <c r="H101" i="7" s="1"/>
  <c r="G101" i="7"/>
  <c r="B102" i="7"/>
  <c r="E101" i="7"/>
  <c r="I101" i="7" s="1"/>
  <c r="C101" i="7"/>
  <c r="F101" i="7"/>
  <c r="J101" i="7" s="1"/>
  <c r="H35" i="7"/>
  <c r="E35" i="7"/>
  <c r="I35" i="7" l="1"/>
  <c r="G35" i="7"/>
  <c r="C36" i="7" s="1"/>
  <c r="F102" i="7"/>
  <c r="J102" i="7" s="1"/>
  <c r="E102" i="7"/>
  <c r="I102" i="7" s="1"/>
  <c r="G102" i="7"/>
  <c r="B103" i="7"/>
  <c r="C102" i="7"/>
  <c r="D102" i="7"/>
  <c r="H102" i="7" s="1"/>
  <c r="D103" i="7" l="1"/>
  <c r="H103" i="7" s="1"/>
  <c r="G103" i="7"/>
  <c r="B104" i="7"/>
  <c r="F103" i="7"/>
  <c r="J103" i="7" s="1"/>
  <c r="E103" i="7"/>
  <c r="I103" i="7" s="1"/>
  <c r="C103" i="7"/>
  <c r="D36" i="7"/>
  <c r="E36" i="7" l="1"/>
  <c r="H36" i="7"/>
  <c r="C104" i="7"/>
  <c r="B105" i="7"/>
  <c r="F104" i="7"/>
  <c r="J104" i="7" s="1"/>
  <c r="E104" i="7"/>
  <c r="I104" i="7" s="1"/>
  <c r="G104" i="7"/>
  <c r="D104" i="7"/>
  <c r="H104" i="7" s="1"/>
  <c r="D105" i="7" l="1"/>
  <c r="H105" i="7" s="1"/>
  <c r="E105" i="7"/>
  <c r="I105" i="7" s="1"/>
  <c r="C105" i="7"/>
  <c r="G105" i="7"/>
  <c r="B106" i="7"/>
  <c r="F105" i="7"/>
  <c r="J105" i="7" s="1"/>
  <c r="I36" i="7"/>
  <c r="G36" i="7"/>
  <c r="C37" i="7" s="1"/>
  <c r="D37" i="7" l="1"/>
  <c r="E106" i="7"/>
  <c r="I106" i="7" s="1"/>
  <c r="G106" i="7"/>
  <c r="D106" i="7"/>
  <c r="H106" i="7" s="1"/>
  <c r="C106" i="7"/>
  <c r="B107" i="7"/>
  <c r="F106" i="7"/>
  <c r="J106" i="7" s="1"/>
  <c r="E107" i="7" l="1"/>
  <c r="I107" i="7" s="1"/>
  <c r="C107" i="7"/>
  <c r="D107" i="7"/>
  <c r="H107" i="7" s="1"/>
  <c r="B108" i="7"/>
  <c r="F107" i="7"/>
  <c r="J107" i="7" s="1"/>
  <c r="G107" i="7"/>
  <c r="H37" i="7"/>
  <c r="E37" i="7"/>
  <c r="I37" i="7" l="1"/>
  <c r="G37" i="7"/>
  <c r="C38" i="7" s="1"/>
  <c r="B109" i="7"/>
  <c r="D108" i="7"/>
  <c r="H108" i="7" s="1"/>
  <c r="C108" i="7"/>
  <c r="G108" i="7"/>
  <c r="E108" i="7"/>
  <c r="I108" i="7" s="1"/>
  <c r="F108" i="7"/>
  <c r="J108" i="7" s="1"/>
  <c r="E109" i="7" l="1"/>
  <c r="I109" i="7" s="1"/>
  <c r="C109" i="7"/>
  <c r="B110" i="7"/>
  <c r="F109" i="7"/>
  <c r="J109" i="7" s="1"/>
  <c r="D109" i="7"/>
  <c r="H109" i="7" s="1"/>
  <c r="G109" i="7"/>
  <c r="D38" i="7"/>
  <c r="E38" i="7" l="1"/>
  <c r="H38" i="7"/>
  <c r="E110" i="7"/>
  <c r="I110" i="7" s="1"/>
  <c r="G110" i="7"/>
  <c r="B111" i="7"/>
  <c r="C110" i="7"/>
  <c r="D110" i="7"/>
  <c r="H110" i="7" s="1"/>
  <c r="F110" i="7"/>
  <c r="J110" i="7" s="1"/>
  <c r="E111" i="7" l="1"/>
  <c r="I111" i="7" s="1"/>
  <c r="C111" i="7"/>
  <c r="B112" i="7"/>
  <c r="F111" i="7"/>
  <c r="J111" i="7" s="1"/>
  <c r="D111" i="7"/>
  <c r="H111" i="7" s="1"/>
  <c r="G111" i="7"/>
  <c r="I38" i="7"/>
  <c r="G38" i="7"/>
  <c r="C39" i="7" s="1"/>
  <c r="G112" i="7" l="1"/>
  <c r="B113" i="7"/>
  <c r="C112" i="7"/>
  <c r="D112" i="7"/>
  <c r="H112" i="7" s="1"/>
  <c r="F112" i="7"/>
  <c r="J112" i="7" s="1"/>
  <c r="E112" i="7"/>
  <c r="I112" i="7" s="1"/>
  <c r="D39" i="7"/>
  <c r="H39" i="7" l="1"/>
  <c r="E39" i="7"/>
  <c r="G113" i="7"/>
  <c r="E113" i="7"/>
  <c r="I113" i="7" s="1"/>
  <c r="C113" i="7"/>
  <c r="B114" i="7"/>
  <c r="F113" i="7"/>
  <c r="J113" i="7" s="1"/>
  <c r="D113" i="7"/>
  <c r="H113" i="7" s="1"/>
  <c r="G114" i="7" l="1"/>
  <c r="D114" i="7"/>
  <c r="H114" i="7" s="1"/>
  <c r="C114" i="7"/>
  <c r="B115" i="7"/>
  <c r="F114" i="7"/>
  <c r="J114" i="7" s="1"/>
  <c r="E114" i="7"/>
  <c r="I114" i="7" s="1"/>
  <c r="I39" i="7"/>
  <c r="G39" i="7"/>
  <c r="C40" i="7" s="1"/>
  <c r="D40" i="7" l="1"/>
  <c r="E115" i="7"/>
  <c r="I115" i="7" s="1"/>
  <c r="C115" i="7"/>
  <c r="B116" i="7"/>
  <c r="F115" i="7"/>
  <c r="J115" i="7" s="1"/>
  <c r="G115" i="7"/>
  <c r="D115" i="7"/>
  <c r="H115" i="7" s="1"/>
  <c r="G116" i="7" l="1"/>
  <c r="B117" i="7"/>
  <c r="E116" i="7"/>
  <c r="I116" i="7" s="1"/>
  <c r="C116" i="7"/>
  <c r="D116" i="7"/>
  <c r="H116" i="7" s="1"/>
  <c r="F116" i="7"/>
  <c r="J116" i="7" s="1"/>
  <c r="H40" i="7"/>
  <c r="E40" i="7"/>
  <c r="I40" i="7" l="1"/>
  <c r="G40" i="7"/>
  <c r="C41" i="7" s="1"/>
  <c r="E117" i="7"/>
  <c r="I117" i="7" s="1"/>
  <c r="C117" i="7"/>
  <c r="F117" i="7"/>
  <c r="J117" i="7" s="1"/>
  <c r="B118" i="7"/>
  <c r="D117" i="7"/>
  <c r="H117" i="7" s="1"/>
  <c r="G117" i="7"/>
  <c r="G118" i="7" l="1"/>
  <c r="B119" i="7"/>
  <c r="C118" i="7"/>
  <c r="D118" i="7"/>
  <c r="H118" i="7" s="1"/>
  <c r="E118" i="7"/>
  <c r="I118" i="7" s="1"/>
  <c r="F118" i="7"/>
  <c r="J118" i="7" s="1"/>
  <c r="D41" i="7"/>
  <c r="H41" i="7" l="1"/>
  <c r="E41" i="7"/>
  <c r="E119" i="7"/>
  <c r="I119" i="7" s="1"/>
  <c r="C119" i="7"/>
  <c r="B120" i="7"/>
  <c r="F119" i="7"/>
  <c r="J119" i="7" s="1"/>
  <c r="D119" i="7"/>
  <c r="H119" i="7" s="1"/>
  <c r="G119" i="7"/>
  <c r="I41" i="7" l="1"/>
  <c r="G41" i="7"/>
  <c r="C42" i="7" s="1"/>
  <c r="G120" i="7"/>
  <c r="B121" i="7"/>
  <c r="C120" i="7"/>
  <c r="D120" i="7"/>
  <c r="H120" i="7" s="1"/>
  <c r="F120" i="7"/>
  <c r="J120" i="7" s="1"/>
  <c r="E120" i="7"/>
  <c r="I120" i="7" s="1"/>
  <c r="E121" i="7" l="1"/>
  <c r="I121" i="7" s="1"/>
  <c r="C121" i="7"/>
  <c r="B122" i="7"/>
  <c r="G121" i="7"/>
  <c r="F121" i="7"/>
  <c r="J121" i="7" s="1"/>
  <c r="D121" i="7"/>
  <c r="H121" i="7" s="1"/>
  <c r="D42" i="7"/>
  <c r="G122" i="7" l="1"/>
  <c r="D122" i="7"/>
  <c r="H122" i="7" s="1"/>
  <c r="C122" i="7"/>
  <c r="B123" i="7"/>
  <c r="F122" i="7"/>
  <c r="J122" i="7" s="1"/>
  <c r="E122" i="7"/>
  <c r="I122" i="7" s="1"/>
  <c r="E42" i="7"/>
  <c r="H42" i="7"/>
  <c r="E123" i="7" l="1"/>
  <c r="I123" i="7" s="1"/>
  <c r="C123" i="7"/>
  <c r="B124" i="7"/>
  <c r="F123" i="7"/>
  <c r="J123" i="7" s="1"/>
  <c r="D123" i="7"/>
  <c r="H123" i="7" s="1"/>
  <c r="G123" i="7"/>
  <c r="I42" i="7"/>
  <c r="G42" i="7"/>
  <c r="C43" i="7" s="1"/>
  <c r="D43" i="7" l="1"/>
  <c r="G124" i="7"/>
  <c r="B125" i="7"/>
  <c r="C124" i="7"/>
  <c r="F124" i="7"/>
  <c r="J124" i="7" s="1"/>
  <c r="D124" i="7"/>
  <c r="H124" i="7" s="1"/>
  <c r="E124" i="7"/>
  <c r="I124" i="7" s="1"/>
  <c r="E125" i="7" l="1"/>
  <c r="I125" i="7" s="1"/>
  <c r="C125" i="7"/>
  <c r="B126" i="7"/>
  <c r="F125" i="7"/>
  <c r="J125" i="7" s="1"/>
  <c r="D125" i="7"/>
  <c r="H125" i="7" s="1"/>
  <c r="G125" i="7"/>
  <c r="E43" i="7"/>
  <c r="H43" i="7"/>
  <c r="I43" i="7" l="1"/>
  <c r="G43" i="7"/>
  <c r="C44" i="7" s="1"/>
  <c r="G126" i="7"/>
  <c r="B127" i="7"/>
  <c r="C126" i="7"/>
  <c r="D126" i="7"/>
  <c r="H126" i="7" s="1"/>
  <c r="E126" i="7"/>
  <c r="I126" i="7" s="1"/>
  <c r="F126" i="7"/>
  <c r="J126" i="7" s="1"/>
  <c r="D44" i="7" l="1"/>
  <c r="E127" i="7"/>
  <c r="I127" i="7" s="1"/>
  <c r="C127" i="7"/>
  <c r="D127" i="7"/>
  <c r="H127" i="7" s="1"/>
  <c r="B128" i="7"/>
  <c r="F127" i="7"/>
  <c r="J127" i="7" s="1"/>
  <c r="G127" i="7"/>
  <c r="H44" i="7" l="1"/>
  <c r="E44" i="7"/>
  <c r="G128" i="7"/>
  <c r="B129" i="7"/>
  <c r="C128" i="7"/>
  <c r="D128" i="7"/>
  <c r="H128" i="7" s="1"/>
  <c r="E128" i="7"/>
  <c r="I128" i="7" s="1"/>
  <c r="F128" i="7"/>
  <c r="J128" i="7" s="1"/>
  <c r="I44" i="7" l="1"/>
  <c r="G44" i="7"/>
  <c r="C45" i="7" s="1"/>
  <c r="E129" i="7"/>
  <c r="I129" i="7" s="1"/>
  <c r="C129" i="7"/>
  <c r="F129" i="7"/>
  <c r="J129" i="7" s="1"/>
  <c r="B130" i="7"/>
  <c r="G129" i="7"/>
  <c r="D129" i="7"/>
  <c r="H129" i="7" s="1"/>
  <c r="D45" i="7" l="1"/>
  <c r="G130" i="7"/>
  <c r="D130" i="7"/>
  <c r="H130" i="7" s="1"/>
  <c r="C130" i="7"/>
  <c r="B131" i="7"/>
  <c r="F130" i="7"/>
  <c r="J130" i="7" s="1"/>
  <c r="E130" i="7"/>
  <c r="I130" i="7" s="1"/>
  <c r="H45" i="7" l="1"/>
  <c r="E45" i="7"/>
  <c r="G131" i="7"/>
  <c r="E131" i="7"/>
  <c r="I131" i="7" s="1"/>
  <c r="C131" i="7"/>
  <c r="B132" i="7"/>
  <c r="F131" i="7"/>
  <c r="J131" i="7" s="1"/>
  <c r="D131" i="7"/>
  <c r="H131" i="7" s="1"/>
  <c r="I45" i="7" l="1"/>
  <c r="G45" i="7"/>
  <c r="C46" i="7" s="1"/>
  <c r="F132" i="7"/>
  <c r="J132" i="7" s="1"/>
  <c r="E132" i="7"/>
  <c r="I132" i="7" s="1"/>
  <c r="G132" i="7"/>
  <c r="B133" i="7"/>
  <c r="C132" i="7"/>
  <c r="D132" i="7"/>
  <c r="H132" i="7" s="1"/>
  <c r="D46" i="7" l="1"/>
  <c r="D133" i="7"/>
  <c r="H133" i="7" s="1"/>
  <c r="G133" i="7"/>
  <c r="E133" i="7"/>
  <c r="I133" i="7" s="1"/>
  <c r="C133" i="7"/>
  <c r="B134" i="7"/>
  <c r="F133" i="7"/>
  <c r="J133" i="7" s="1"/>
  <c r="E46" i="7" l="1"/>
  <c r="H46" i="7"/>
  <c r="F134" i="7"/>
  <c r="J134" i="7" s="1"/>
  <c r="G134" i="7"/>
  <c r="B135" i="7"/>
  <c r="E134" i="7"/>
  <c r="I134" i="7" s="1"/>
  <c r="C134" i="7"/>
  <c r="D134" i="7"/>
  <c r="H134" i="7" s="1"/>
  <c r="I46" i="7" l="1"/>
  <c r="G46" i="7"/>
  <c r="C47" i="7" s="1"/>
  <c r="D135" i="7"/>
  <c r="H135" i="7" s="1"/>
  <c r="E135" i="7"/>
  <c r="I135" i="7" s="1"/>
  <c r="C135" i="7"/>
  <c r="B136" i="7"/>
  <c r="F135" i="7"/>
  <c r="J135" i="7" s="1"/>
  <c r="G135" i="7"/>
  <c r="D47" i="7" l="1"/>
  <c r="F136" i="7"/>
  <c r="J136" i="7" s="1"/>
  <c r="E136" i="7"/>
  <c r="I136" i="7" s="1"/>
  <c r="G136" i="7"/>
  <c r="B137" i="7"/>
  <c r="C136" i="7"/>
  <c r="D136" i="7"/>
  <c r="H136" i="7" s="1"/>
  <c r="E47" i="7" l="1"/>
  <c r="H47" i="7"/>
  <c r="D48" i="7"/>
  <c r="H48" i="7" s="1"/>
  <c r="D137" i="7"/>
  <c r="H137" i="7" s="1"/>
  <c r="G137" i="7"/>
  <c r="C137" i="7"/>
  <c r="E137" i="7"/>
  <c r="I137" i="7" s="1"/>
  <c r="B138" i="7"/>
  <c r="F137" i="7"/>
  <c r="J137" i="7" s="1"/>
  <c r="I47" i="7" l="1"/>
  <c r="E48" i="7"/>
  <c r="I48" i="7" s="1"/>
  <c r="G47" i="7"/>
  <c r="F138" i="7"/>
  <c r="J138" i="7" s="1"/>
  <c r="E138" i="7"/>
  <c r="I138" i="7" s="1"/>
  <c r="G138" i="7"/>
  <c r="D138" i="7"/>
  <c r="H138" i="7" s="1"/>
  <c r="C138" i="7"/>
  <c r="B139" i="7"/>
  <c r="G139" i="7" l="1"/>
  <c r="E139" i="7"/>
  <c r="I139" i="7" s="1"/>
  <c r="C139" i="7"/>
  <c r="B140" i="7"/>
  <c r="F139" i="7"/>
  <c r="J139" i="7" s="1"/>
  <c r="D139" i="7"/>
  <c r="H139" i="7" s="1"/>
  <c r="E140" i="7" l="1"/>
  <c r="I140" i="7" s="1"/>
  <c r="G140" i="7"/>
  <c r="B141" i="7"/>
  <c r="C140" i="7"/>
  <c r="D140" i="7"/>
  <c r="H140" i="7" s="1"/>
  <c r="F140" i="7"/>
  <c r="J140" i="7" s="1"/>
  <c r="D141" i="7" l="1"/>
  <c r="H141" i="7" s="1"/>
  <c r="G141" i="7"/>
  <c r="C141" i="7"/>
  <c r="B142" i="7"/>
  <c r="F141" i="7"/>
  <c r="J141" i="7" s="1"/>
  <c r="E141" i="7"/>
  <c r="I141" i="7" s="1"/>
  <c r="E142" i="7" l="1"/>
  <c r="I142" i="7" s="1"/>
  <c r="G142" i="7"/>
  <c r="B143" i="7"/>
  <c r="D142" i="7"/>
  <c r="H142" i="7" s="1"/>
  <c r="C142" i="7"/>
  <c r="F142" i="7"/>
  <c r="J142" i="7" s="1"/>
  <c r="D143" i="7" l="1"/>
  <c r="H143" i="7" s="1"/>
  <c r="E143" i="7"/>
  <c r="I143" i="7" s="1"/>
  <c r="C143" i="7"/>
  <c r="B144" i="7"/>
  <c r="F143" i="7"/>
  <c r="J143" i="7" s="1"/>
  <c r="G143" i="7"/>
  <c r="D144" i="7" l="1"/>
  <c r="H144" i="7" s="1"/>
  <c r="C144" i="7"/>
  <c r="F144" i="7"/>
  <c r="J144" i="7" s="1"/>
  <c r="G144" i="7"/>
  <c r="B145" i="7"/>
  <c r="E144" i="7"/>
  <c r="I144" i="7" s="1"/>
  <c r="F145" i="7" l="1"/>
  <c r="J145" i="7" s="1"/>
  <c r="B146" i="7"/>
  <c r="E145" i="7"/>
  <c r="I145" i="7" s="1"/>
  <c r="C145" i="7"/>
  <c r="D145" i="7"/>
  <c r="H145" i="7" s="1"/>
  <c r="G145" i="7"/>
  <c r="D146" i="7" l="1"/>
  <c r="H146" i="7" s="1"/>
  <c r="F146" i="7"/>
  <c r="J146" i="7" s="1"/>
  <c r="E146" i="7"/>
  <c r="I146" i="7" s="1"/>
  <c r="B147" i="7"/>
  <c r="C146" i="7"/>
  <c r="G146" i="7"/>
  <c r="F147" i="7" l="1"/>
  <c r="J147" i="7" s="1"/>
  <c r="G147" i="7"/>
  <c r="B148" i="7"/>
  <c r="E147" i="7"/>
  <c r="I147" i="7" s="1"/>
  <c r="D147" i="7"/>
  <c r="H147" i="7" s="1"/>
  <c r="C147" i="7"/>
  <c r="D148" i="7" l="1"/>
  <c r="H148" i="7" s="1"/>
  <c r="C148" i="7"/>
  <c r="F148" i="7"/>
  <c r="J148" i="7" s="1"/>
  <c r="G148" i="7"/>
  <c r="B149" i="7"/>
  <c r="E148" i="7"/>
  <c r="I148" i="7" s="1"/>
  <c r="E149" i="7" l="1"/>
  <c r="I149" i="7" s="1"/>
  <c r="B150" i="7"/>
  <c r="C149" i="7"/>
  <c r="D149" i="7"/>
  <c r="H149" i="7" s="1"/>
  <c r="G149" i="7"/>
  <c r="F149" i="7"/>
  <c r="J149" i="7" s="1"/>
  <c r="D150" i="7" l="1"/>
  <c r="H150" i="7" s="1"/>
  <c r="G150" i="7"/>
  <c r="B151" i="7"/>
  <c r="C150" i="7"/>
  <c r="F150" i="7"/>
  <c r="J150" i="7" s="1"/>
  <c r="E150" i="7"/>
  <c r="I150" i="7" s="1"/>
  <c r="F151" i="7" l="1"/>
  <c r="J151" i="7" s="1"/>
  <c r="G151" i="7"/>
  <c r="B152" i="7"/>
  <c r="E151" i="7"/>
  <c r="I151" i="7" s="1"/>
  <c r="D151" i="7"/>
  <c r="H151" i="7" s="1"/>
  <c r="C151" i="7"/>
  <c r="D152" i="7" l="1"/>
  <c r="H152" i="7" s="1"/>
  <c r="C152" i="7"/>
  <c r="F152" i="7"/>
  <c r="J152" i="7" s="1"/>
  <c r="G152" i="7"/>
  <c r="B153" i="7"/>
  <c r="E152" i="7"/>
  <c r="I152" i="7" s="1"/>
  <c r="F153" i="7" l="1"/>
  <c r="J153" i="7" s="1"/>
  <c r="E153" i="7"/>
  <c r="I153" i="7" s="1"/>
  <c r="B154" i="7"/>
  <c r="C153" i="7"/>
  <c r="D153" i="7"/>
  <c r="H153" i="7" s="1"/>
  <c r="G153" i="7"/>
  <c r="D154" i="7" l="1"/>
  <c r="H154" i="7" s="1"/>
  <c r="G154" i="7"/>
  <c r="F154" i="7"/>
  <c r="J154" i="7" s="1"/>
  <c r="E154" i="7"/>
  <c r="I154" i="7" s="1"/>
  <c r="B155" i="7"/>
  <c r="C154" i="7"/>
  <c r="G155" i="7" l="1"/>
  <c r="B156" i="7"/>
  <c r="E155" i="7"/>
  <c r="I155" i="7" s="1"/>
  <c r="F155" i="7"/>
  <c r="J155" i="7" s="1"/>
  <c r="D155" i="7"/>
  <c r="H155" i="7" s="1"/>
  <c r="C155" i="7"/>
  <c r="D156" i="7" l="1"/>
  <c r="H156" i="7" s="1"/>
  <c r="E156" i="7"/>
  <c r="I156" i="7" s="1"/>
  <c r="C156" i="7"/>
  <c r="B157" i="7"/>
  <c r="F156" i="7"/>
  <c r="J156" i="7" s="1"/>
  <c r="G156" i="7"/>
  <c r="F157" i="7" l="1"/>
  <c r="J157" i="7" s="1"/>
  <c r="B158" i="7"/>
  <c r="C157" i="7"/>
  <c r="D157" i="7"/>
  <c r="H157" i="7" s="1"/>
  <c r="G157" i="7"/>
  <c r="E157" i="7"/>
  <c r="I157" i="7" s="1"/>
  <c r="D158" i="7" l="1"/>
  <c r="H158" i="7" s="1"/>
  <c r="G158" i="7"/>
  <c r="F158" i="7"/>
  <c r="J158" i="7" s="1"/>
  <c r="E158" i="7"/>
  <c r="I158" i="7" s="1"/>
  <c r="B159" i="7"/>
  <c r="C158" i="7"/>
  <c r="F159" i="7" l="1"/>
  <c r="J159" i="7" s="1"/>
  <c r="G159" i="7"/>
  <c r="B160" i="7"/>
  <c r="E159" i="7"/>
  <c r="I159" i="7" s="1"/>
  <c r="D159" i="7"/>
  <c r="H159" i="7" s="1"/>
  <c r="C159" i="7"/>
  <c r="D160" i="7" l="1"/>
  <c r="H160" i="7" s="1"/>
  <c r="F160" i="7"/>
  <c r="J160" i="7" s="1"/>
  <c r="G160" i="7"/>
  <c r="C160" i="7"/>
  <c r="B161" i="7"/>
  <c r="E160" i="7"/>
  <c r="I160" i="7" s="1"/>
  <c r="F161" i="7" l="1"/>
  <c r="J161" i="7" s="1"/>
  <c r="E161" i="7"/>
  <c r="I161" i="7" s="1"/>
  <c r="B162" i="7"/>
  <c r="C161" i="7"/>
  <c r="D161" i="7"/>
  <c r="H161" i="7" s="1"/>
  <c r="G161" i="7"/>
  <c r="D162" i="7" l="1"/>
  <c r="H162" i="7" s="1"/>
  <c r="G162" i="7"/>
  <c r="F162" i="7"/>
  <c r="J162" i="7" s="1"/>
  <c r="E162" i="7"/>
  <c r="I162" i="7" s="1"/>
  <c r="C162" i="7"/>
  <c r="B163" i="7"/>
  <c r="F163" i="7" l="1"/>
  <c r="J163" i="7" s="1"/>
  <c r="G163" i="7"/>
  <c r="B164" i="7"/>
  <c r="E163" i="7"/>
  <c r="I163" i="7" s="1"/>
  <c r="D163" i="7"/>
  <c r="H163" i="7" s="1"/>
  <c r="C163" i="7"/>
  <c r="D164" i="7" l="1"/>
  <c r="H164" i="7" s="1"/>
  <c r="C164" i="7"/>
  <c r="B165" i="7"/>
  <c r="F164" i="7"/>
  <c r="J164" i="7" s="1"/>
  <c r="G164" i="7"/>
  <c r="E164" i="7"/>
  <c r="I164" i="7" s="1"/>
  <c r="F165" i="7" l="1"/>
  <c r="J165" i="7" s="1"/>
  <c r="E165" i="7"/>
  <c r="I165" i="7" s="1"/>
  <c r="B166" i="7"/>
  <c r="C165" i="7"/>
  <c r="D165" i="7"/>
  <c r="H165" i="7" s="1"/>
  <c r="G165" i="7"/>
  <c r="D166" i="7" l="1"/>
  <c r="H166" i="7" s="1"/>
  <c r="F166" i="7"/>
  <c r="J166" i="7" s="1"/>
  <c r="E166" i="7"/>
  <c r="I166" i="7" s="1"/>
  <c r="G166" i="7"/>
  <c r="B167" i="7"/>
  <c r="C166" i="7"/>
  <c r="F167" i="7" l="1"/>
  <c r="J167" i="7" s="1"/>
  <c r="G167" i="7"/>
  <c r="B168" i="7"/>
  <c r="E167" i="7"/>
  <c r="I167" i="7" s="1"/>
  <c r="D167" i="7"/>
  <c r="H167" i="7" s="1"/>
  <c r="C167" i="7"/>
  <c r="D168" i="7" l="1"/>
  <c r="H168" i="7" s="1"/>
  <c r="C168" i="7"/>
  <c r="F168" i="7"/>
  <c r="J168" i="7" s="1"/>
  <c r="G168" i="7"/>
  <c r="B169" i="7"/>
  <c r="E168" i="7"/>
  <c r="I168" i="7" s="1"/>
  <c r="F169" i="7" l="1"/>
  <c r="J169" i="7" s="1"/>
  <c r="E169" i="7"/>
  <c r="I169" i="7" s="1"/>
  <c r="B170" i="7"/>
  <c r="C169" i="7"/>
  <c r="D169" i="7"/>
  <c r="H169" i="7" s="1"/>
  <c r="G169" i="7"/>
  <c r="G170" i="7" l="1"/>
  <c r="F170" i="7"/>
  <c r="J170" i="7" s="1"/>
  <c r="E170" i="7"/>
  <c r="I170" i="7" s="1"/>
  <c r="B171" i="7"/>
  <c r="C170" i="7"/>
  <c r="D170" i="7"/>
  <c r="H170" i="7" s="1"/>
  <c r="F171" i="7" l="1"/>
  <c r="J171" i="7" s="1"/>
  <c r="G171" i="7"/>
  <c r="B172" i="7"/>
  <c r="E171" i="7"/>
  <c r="I171" i="7" s="1"/>
  <c r="D171" i="7"/>
  <c r="H171" i="7" s="1"/>
  <c r="C171" i="7"/>
  <c r="D172" i="7" l="1"/>
  <c r="H172" i="7" s="1"/>
  <c r="C172" i="7"/>
  <c r="F172" i="7"/>
  <c r="J172" i="7" s="1"/>
  <c r="G172" i="7"/>
  <c r="B173" i="7"/>
  <c r="E172" i="7"/>
  <c r="I172" i="7" s="1"/>
  <c r="G173" i="7" l="1"/>
  <c r="F173" i="7"/>
  <c r="J173" i="7" s="1"/>
  <c r="B174" i="7"/>
  <c r="E173" i="7"/>
  <c r="I173" i="7" s="1"/>
  <c r="D173" i="7"/>
  <c r="H173" i="7" s="1"/>
  <c r="C173" i="7"/>
  <c r="D174" i="7" l="1"/>
  <c r="H174" i="7" s="1"/>
  <c r="F174" i="7"/>
  <c r="J174" i="7" s="1"/>
  <c r="G174" i="7"/>
  <c r="E174" i="7"/>
  <c r="I174" i="7" s="1"/>
  <c r="C174" i="7"/>
  <c r="B175" i="7"/>
  <c r="G175" i="7" l="1"/>
  <c r="B176" i="7"/>
  <c r="F175" i="7"/>
  <c r="J175" i="7" s="1"/>
  <c r="C175" i="7"/>
  <c r="D175" i="7"/>
  <c r="H175" i="7" s="1"/>
  <c r="E175" i="7"/>
  <c r="I175" i="7" s="1"/>
  <c r="B177" i="7" l="1"/>
  <c r="D176" i="7"/>
  <c r="H176" i="7" s="1"/>
  <c r="F176" i="7"/>
  <c r="J176" i="7" s="1"/>
  <c r="C176" i="7"/>
  <c r="E176" i="7"/>
  <c r="I176" i="7" s="1"/>
  <c r="G176" i="7"/>
  <c r="G177" i="7" l="1"/>
  <c r="C177" i="7"/>
  <c r="B178" i="7"/>
  <c r="F177" i="7"/>
  <c r="J177" i="7" s="1"/>
  <c r="D177" i="7"/>
  <c r="H177" i="7" s="1"/>
  <c r="E177" i="7"/>
  <c r="I177" i="7" s="1"/>
  <c r="B179" i="7" l="1"/>
  <c r="D178" i="7"/>
  <c r="H178" i="7" s="1"/>
  <c r="F178" i="7"/>
  <c r="J178" i="7" s="1"/>
  <c r="G178" i="7"/>
  <c r="E178" i="7"/>
  <c r="I178" i="7" s="1"/>
  <c r="C178" i="7"/>
  <c r="G179" i="7" l="1"/>
  <c r="C179" i="7"/>
  <c r="B180" i="7"/>
  <c r="F179" i="7"/>
  <c r="J179" i="7" s="1"/>
  <c r="D179" i="7"/>
  <c r="H179" i="7" s="1"/>
  <c r="E179" i="7"/>
  <c r="I179" i="7" s="1"/>
  <c r="B181" i="7" l="1"/>
  <c r="D180" i="7"/>
  <c r="H180" i="7" s="1"/>
  <c r="F180" i="7"/>
  <c r="J180" i="7" s="1"/>
  <c r="G180" i="7"/>
  <c r="E180" i="7"/>
  <c r="I180" i="7" s="1"/>
  <c r="C180" i="7"/>
  <c r="G181" i="7" l="1"/>
  <c r="B182" i="7"/>
  <c r="F181" i="7"/>
  <c r="J181" i="7" s="1"/>
  <c r="D181" i="7"/>
  <c r="H181" i="7" s="1"/>
  <c r="E181" i="7"/>
  <c r="I181" i="7" s="1"/>
  <c r="C181" i="7"/>
  <c r="B183" i="7" l="1"/>
  <c r="D182" i="7"/>
  <c r="H182" i="7" s="1"/>
  <c r="F182" i="7"/>
  <c r="J182" i="7" s="1"/>
  <c r="G182" i="7"/>
  <c r="E182" i="7"/>
  <c r="I182" i="7" s="1"/>
  <c r="C182" i="7"/>
  <c r="C183" i="7" l="1"/>
  <c r="B184" i="7"/>
  <c r="F183" i="7"/>
  <c r="J183" i="7" s="1"/>
  <c r="D183" i="7"/>
  <c r="H183" i="7" s="1"/>
  <c r="E183" i="7"/>
  <c r="I183" i="7" s="1"/>
  <c r="G183" i="7"/>
  <c r="B185" i="7" l="1"/>
  <c r="D184" i="7"/>
  <c r="H184" i="7" s="1"/>
  <c r="E184" i="7"/>
  <c r="I184" i="7" s="1"/>
  <c r="G184" i="7"/>
  <c r="F184" i="7"/>
  <c r="J184" i="7" s="1"/>
  <c r="C184" i="7"/>
  <c r="G185" i="7" l="1"/>
  <c r="C185" i="7"/>
  <c r="D185" i="7"/>
  <c r="H185" i="7" s="1"/>
  <c r="B186" i="7"/>
  <c r="F185" i="7"/>
  <c r="J185" i="7" s="1"/>
  <c r="E185" i="7"/>
  <c r="I185" i="7" s="1"/>
  <c r="B187" i="7" l="1"/>
  <c r="D186" i="7"/>
  <c r="H186" i="7" s="1"/>
  <c r="E186" i="7"/>
  <c r="I186" i="7" s="1"/>
  <c r="F186" i="7"/>
  <c r="J186" i="7" s="1"/>
  <c r="G186" i="7"/>
  <c r="C186" i="7"/>
  <c r="G187" i="7" l="1"/>
  <c r="C187" i="7"/>
  <c r="B188" i="7"/>
  <c r="F187" i="7"/>
  <c r="J187" i="7" s="1"/>
  <c r="D187" i="7"/>
  <c r="H187" i="7" s="1"/>
  <c r="E187" i="7"/>
  <c r="I187" i="7" s="1"/>
  <c r="B189" i="7" l="1"/>
  <c r="D188" i="7"/>
  <c r="H188" i="7" s="1"/>
  <c r="F188" i="7"/>
  <c r="J188" i="7" s="1"/>
  <c r="G188" i="7"/>
  <c r="E188" i="7"/>
  <c r="I188" i="7" s="1"/>
  <c r="C188" i="7"/>
  <c r="G189" i="7" l="1"/>
  <c r="C189" i="7"/>
  <c r="D189" i="7"/>
  <c r="H189" i="7" s="1"/>
  <c r="E189" i="7"/>
  <c r="I189" i="7" s="1"/>
  <c r="B190" i="7"/>
  <c r="F189" i="7"/>
  <c r="J189" i="7" s="1"/>
  <c r="B191" i="7" l="1"/>
  <c r="D190" i="7"/>
  <c r="H190" i="7" s="1"/>
  <c r="F190" i="7"/>
  <c r="J190" i="7" s="1"/>
  <c r="G190" i="7"/>
  <c r="E190" i="7"/>
  <c r="I190" i="7" s="1"/>
  <c r="C190" i="7"/>
  <c r="G191" i="7" l="1"/>
  <c r="C191" i="7"/>
  <c r="F191" i="7"/>
  <c r="J191" i="7" s="1"/>
  <c r="D191" i="7"/>
  <c r="H191" i="7" s="1"/>
  <c r="B192" i="7"/>
  <c r="E191" i="7"/>
  <c r="I191" i="7" s="1"/>
  <c r="B193" i="7" l="1"/>
  <c r="D192" i="7"/>
  <c r="H192" i="7" s="1"/>
  <c r="G192" i="7"/>
  <c r="E192" i="7"/>
  <c r="I192" i="7" s="1"/>
  <c r="F192" i="7"/>
  <c r="J192" i="7" s="1"/>
  <c r="C192" i="7"/>
  <c r="G193" i="7" l="1"/>
  <c r="C193" i="7"/>
  <c r="B194" i="7"/>
  <c r="F193" i="7"/>
  <c r="J193" i="7" s="1"/>
  <c r="D193" i="7"/>
  <c r="H193" i="7" s="1"/>
  <c r="E193" i="7"/>
  <c r="I193" i="7" s="1"/>
  <c r="B195" i="7" l="1"/>
  <c r="D194" i="7"/>
  <c r="H194" i="7" s="1"/>
  <c r="E194" i="7"/>
  <c r="I194" i="7" s="1"/>
  <c r="F194" i="7"/>
  <c r="J194" i="7" s="1"/>
  <c r="G194" i="7"/>
  <c r="C194" i="7"/>
  <c r="G195" i="7" l="1"/>
  <c r="B196" i="7"/>
  <c r="C195" i="7"/>
  <c r="F195" i="7"/>
  <c r="J195" i="7" s="1"/>
  <c r="E195" i="7"/>
  <c r="I195" i="7" s="1"/>
  <c r="D195" i="7"/>
  <c r="H195" i="7" s="1"/>
  <c r="B197" i="7" l="1"/>
  <c r="D196" i="7"/>
  <c r="H196" i="7" s="1"/>
  <c r="F196" i="7"/>
  <c r="J196" i="7" s="1"/>
  <c r="G196" i="7"/>
  <c r="E196" i="7"/>
  <c r="I196" i="7" s="1"/>
  <c r="C196" i="7"/>
  <c r="G197" i="7" l="1"/>
  <c r="C197" i="7"/>
  <c r="D197" i="7"/>
  <c r="H197" i="7" s="1"/>
  <c r="E197" i="7"/>
  <c r="I197" i="7" s="1"/>
  <c r="B198" i="7"/>
  <c r="F197" i="7"/>
  <c r="J197" i="7" s="1"/>
  <c r="B199" i="7" l="1"/>
  <c r="C198" i="7"/>
  <c r="D198" i="7"/>
  <c r="H198" i="7" s="1"/>
  <c r="E198" i="7"/>
  <c r="I198" i="7" s="1"/>
  <c r="F198" i="7"/>
  <c r="J198" i="7" s="1"/>
  <c r="G198" i="7"/>
  <c r="G199" i="7" l="1"/>
  <c r="C199" i="7"/>
  <c r="D199" i="7"/>
  <c r="H199" i="7" s="1"/>
  <c r="E199" i="7"/>
  <c r="I199" i="7" s="1"/>
  <c r="B200" i="7"/>
  <c r="F199" i="7"/>
  <c r="J199" i="7" s="1"/>
  <c r="D200" i="7" l="1"/>
  <c r="C200" i="7"/>
  <c r="F200" i="7"/>
  <c r="E200" i="7"/>
  <c r="C45" i="3" l="1"/>
  <c r="C47" i="3" s="1"/>
  <c r="G10" i="3" l="1"/>
  <c r="G8" i="3"/>
  <c r="G9" i="3" s="1"/>
  <c r="G3" i="3"/>
  <c r="G4" i="3" s="1"/>
  <c r="G5" i="3" s="1"/>
  <c r="G6" i="3" s="1"/>
</calcChain>
</file>

<file path=xl/sharedStrings.xml><?xml version="1.0" encoding="utf-8"?>
<sst xmlns="http://schemas.openxmlformats.org/spreadsheetml/2006/main" count="1049" uniqueCount="379">
  <si>
    <t>https://www.wohnungsboerse.net/mietspiegel-Dortmund/5209</t>
  </si>
  <si>
    <t>STADTTEIL</t>
  </si>
  <si>
    <t>€/m²</t>
  </si>
  <si>
    <t>Aplerbeck</t>
  </si>
  <si>
    <t>Aplerbecker Mark</t>
  </si>
  <si>
    <t>Asseln</t>
  </si>
  <si>
    <t>Barop</t>
  </si>
  <si>
    <t>Benninghofen</t>
  </si>
  <si>
    <t>Berghofen</t>
  </si>
  <si>
    <t>Bittermark</t>
  </si>
  <si>
    <t>Bodelschwingh</t>
  </si>
  <si>
    <t>Bövinghausen</t>
  </si>
  <si>
    <t>Brackel</t>
  </si>
  <si>
    <t>Brechten</t>
  </si>
  <si>
    <t>Brünninghausen</t>
  </si>
  <si>
    <t>Derne</t>
  </si>
  <si>
    <t>Dorstfeld</t>
  </si>
  <si>
    <t>Eichlinghofen</t>
  </si>
  <si>
    <t>Eving</t>
  </si>
  <si>
    <t>Höchsten</t>
  </si>
  <si>
    <t>Holte</t>
  </si>
  <si>
    <t>Holzen</t>
  </si>
  <si>
    <t>Hombruch</t>
  </si>
  <si>
    <t>Hörde</t>
  </si>
  <si>
    <t>Huckarde</t>
  </si>
  <si>
    <t>Husen</t>
  </si>
  <si>
    <t>Innenstadt</t>
  </si>
  <si>
    <t>Kemminghausen</t>
  </si>
  <si>
    <t>Kirchderne</t>
  </si>
  <si>
    <t>Kirchhörde</t>
  </si>
  <si>
    <t>Kirchlinde</t>
  </si>
  <si>
    <t>Kleinholthausen</t>
  </si>
  <si>
    <t>Kley</t>
  </si>
  <si>
    <t>Körne</t>
  </si>
  <si>
    <t>Kurl</t>
  </si>
  <si>
    <t>Lanstrop</t>
  </si>
  <si>
    <t>Lichtendorf</t>
  </si>
  <si>
    <t>Lindenhorst</t>
  </si>
  <si>
    <t>Loh</t>
  </si>
  <si>
    <t>Löttringhausen</t>
  </si>
  <si>
    <t>Lücklemberg</t>
  </si>
  <si>
    <t>Lütgendortmund</t>
  </si>
  <si>
    <t>Marten</t>
  </si>
  <si>
    <t>Mengede</t>
  </si>
  <si>
    <t>Menglinghausen</t>
  </si>
  <si>
    <t>Nette</t>
  </si>
  <si>
    <t>Neuasseln</t>
  </si>
  <si>
    <t>Niederhofen</t>
  </si>
  <si>
    <t>Oespel</t>
  </si>
  <si>
    <t>Oestrich</t>
  </si>
  <si>
    <t>Persebeck</t>
  </si>
  <si>
    <t>Rahm</t>
  </si>
  <si>
    <t>Renninghausen</t>
  </si>
  <si>
    <t>Scharnhorst</t>
  </si>
  <si>
    <t>Schüren</t>
  </si>
  <si>
    <t>Sölde</t>
  </si>
  <si>
    <t>Sölderholz</t>
  </si>
  <si>
    <t>Sommerberg</t>
  </si>
  <si>
    <t>Wambel</t>
  </si>
  <si>
    <t>Wellinghofen</t>
  </si>
  <si>
    <t>Westerfilde</t>
  </si>
  <si>
    <t>Wichlinghofen</t>
  </si>
  <si>
    <t>Wickede</t>
  </si>
  <si>
    <t>Wischlingen</t>
  </si>
  <si>
    <t>Stadtteil</t>
  </si>
  <si>
    <t>Einkaufspreis</t>
  </si>
  <si>
    <t>Einnahmen</t>
  </si>
  <si>
    <t>Stadt</t>
  </si>
  <si>
    <t>Dortmund</t>
  </si>
  <si>
    <t>Name</t>
  </si>
  <si>
    <t>Maklerprovision</t>
  </si>
  <si>
    <t>Grunderwerbssteuer</t>
  </si>
  <si>
    <t>Notarkosten</t>
  </si>
  <si>
    <t>Grundbucheintrag</t>
  </si>
  <si>
    <t>Adresse 1</t>
  </si>
  <si>
    <t>Immobilie</t>
  </si>
  <si>
    <t>in %</t>
  </si>
  <si>
    <t>in €</t>
  </si>
  <si>
    <t>Kaufpreis</t>
  </si>
  <si>
    <t>Kredit</t>
  </si>
  <si>
    <t>Kredithöhe</t>
  </si>
  <si>
    <t>Eigenkapital</t>
  </si>
  <si>
    <t>Zins</t>
  </si>
  <si>
    <t>Laufzeit (in Jahren)</t>
  </si>
  <si>
    <t>Zinsen</t>
  </si>
  <si>
    <t>Quadratmeter</t>
  </si>
  <si>
    <t>Zimmer</t>
  </si>
  <si>
    <t>Miete (Mietspiegel)</t>
  </si>
  <si>
    <t>€ / m²</t>
  </si>
  <si>
    <t>Schlüssel</t>
  </si>
  <si>
    <t>Miete (Angegeben)</t>
  </si>
  <si>
    <t>€ im Monat</t>
  </si>
  <si>
    <t>€ im Monat aus MD</t>
  </si>
  <si>
    <t>Baujahr</t>
  </si>
  <si>
    <t>Bodenwert</t>
  </si>
  <si>
    <t>Parameter</t>
  </si>
  <si>
    <t>Abschreibung</t>
  </si>
  <si>
    <t>Steuern</t>
  </si>
  <si>
    <t>Steuersatz</t>
  </si>
  <si>
    <t>Ergebnis vor Steuern</t>
  </si>
  <si>
    <t>Rücklagen</t>
  </si>
  <si>
    <t>Ausgaben monatlich</t>
  </si>
  <si>
    <t>Ausgaben einmalig</t>
  </si>
  <si>
    <t>Ergebnis nach Steuern</t>
  </si>
  <si>
    <t>Zinsen (durchschnitt über Jahre)</t>
  </si>
  <si>
    <t>Tilgung (durchschnitt über Jahre)</t>
  </si>
  <si>
    <t>Summe</t>
  </si>
  <si>
    <t>Rendite</t>
  </si>
  <si>
    <t>Monatliche Betrag</t>
  </si>
  <si>
    <t>Brutto-Rendite</t>
  </si>
  <si>
    <t>Eigenkapital-Rendite</t>
  </si>
  <si>
    <t>Jahresreinertrag</t>
  </si>
  <si>
    <t>Netto-Rendite</t>
  </si>
  <si>
    <t>monatlicher Cashflow nach Rücklage</t>
  </si>
  <si>
    <t>Sollte zwischen 4% und 6% sein.</t>
  </si>
  <si>
    <t>Etage</t>
  </si>
  <si>
    <t>nicht umlegbar</t>
  </si>
  <si>
    <t>Energieeffiziensklasse</t>
  </si>
  <si>
    <t>Objektzustand</t>
  </si>
  <si>
    <t>Cashflow</t>
  </si>
  <si>
    <t>Tilgung</t>
  </si>
  <si>
    <t>Kosten</t>
  </si>
  <si>
    <t>Jahresmiete</t>
  </si>
  <si>
    <t>Jahr</t>
  </si>
  <si>
    <t>Annuitätendarlehen</t>
  </si>
  <si>
    <t>Laufzeit</t>
  </si>
  <si>
    <t>Annuität</t>
  </si>
  <si>
    <t>Zinssatz</t>
  </si>
  <si>
    <t>Darlehensbetrag</t>
  </si>
  <si>
    <t>Restschuld am Jahresanfang</t>
  </si>
  <si>
    <t>Jährl. zuzahlende Raten</t>
  </si>
  <si>
    <t>Restschuld am Jahresende</t>
  </si>
  <si>
    <t>Järlich</t>
  </si>
  <si>
    <t>Rate</t>
  </si>
  <si>
    <t>Monatlich</t>
  </si>
  <si>
    <t>Rücklage (Eigene)</t>
  </si>
  <si>
    <t>Tilgungssatz</t>
  </si>
  <si>
    <t>10% Optionale Tilgung</t>
  </si>
  <si>
    <t>Höchste Tilgung Wert/%Anteil/J. Ges</t>
  </si>
  <si>
    <t>Hausgeld (nicht umlegbar / Ges)</t>
  </si>
  <si>
    <t>Einfache Rechnung</t>
  </si>
  <si>
    <t>Einkommen</t>
  </si>
  <si>
    <t>immo_id</t>
  </si>
  <si>
    <t>year</t>
  </si>
  <si>
    <t>month</t>
  </si>
  <si>
    <t>day</t>
  </si>
  <si>
    <t>title</t>
  </si>
  <si>
    <t>url</t>
  </si>
  <si>
    <t>city</t>
  </si>
  <si>
    <t>postcode</t>
  </si>
  <si>
    <t>quarter</t>
  </si>
  <si>
    <t>street</t>
  </si>
  <si>
    <t>lat</t>
  </si>
  <si>
    <t>lng</t>
  </si>
  <si>
    <t>realtorCompanyName</t>
  </si>
  <si>
    <t>balcony</t>
  </si>
  <si>
    <t>builtInKitchen</t>
  </si>
  <si>
    <t>energyEfficiencyClass</t>
  </si>
  <si>
    <t>cellar</t>
  </si>
  <si>
    <t>garden</t>
  </si>
  <si>
    <t>guestToilet</t>
  </si>
  <si>
    <t>lift</t>
  </si>
  <si>
    <t>livingSpace</t>
  </si>
  <si>
    <t>numberOfRooms</t>
  </si>
  <si>
    <t>additional_costs</t>
  </si>
  <si>
    <t>value</t>
  </si>
  <si>
    <t>house_money</t>
  </si>
  <si>
    <t>year_of_construction</t>
  </si>
  <si>
    <t>provision</t>
  </si>
  <si>
    <t>provision_percent</t>
  </si>
  <si>
    <t>land_transfer</t>
  </si>
  <si>
    <t>land_transfer_percent</t>
  </si>
  <si>
    <t>notary</t>
  </si>
  <si>
    <t>notary_percent</t>
  </si>
  <si>
    <t>entry_land</t>
  </si>
  <si>
    <t>entry_land_percent</t>
  </si>
  <si>
    <t>rent</t>
  </si>
  <si>
    <t>prediction</t>
  </si>
  <si>
    <t>Schöne helle und großzügige 2 Zimmer Wohnung mit Laminat- / Vinylboden, Wannenbad</t>
  </si>
  <si>
    <t>https://www.immobilienscout24.de/expose/63827130</t>
  </si>
  <si>
    <t>Brunnenstrasse</t>
  </si>
  <si>
    <t>true</t>
  </si>
  <si>
    <t>false</t>
  </si>
  <si>
    <t>Helle Maisonettewohnung mit Südbalkon zum Kauf!!!!!</t>
  </si>
  <si>
    <t>https://www.immobilienscout24.de/expose/108959763</t>
  </si>
  <si>
    <t>Wambeler Heide</t>
  </si>
  <si>
    <t>Ernesti Immobilien</t>
  </si>
  <si>
    <t>Dortmund-Huckarde:  3 Zimmer Eigentumswohnung mit Balkon !Ab 1.6.2020 frei!</t>
  </si>
  <si>
    <t>https://www.immobilienscout24.de/expose/110504290</t>
  </si>
  <si>
    <t>Lindemann, Stadthaus Immobilien GmbH</t>
  </si>
  <si>
    <t>*o. zzgl. Käufercourtage* Wohnträume am Park: hell, gut aufgeteilt, renovierungsbed.: ETW in Do-Süd</t>
  </si>
  <si>
    <t>https://www.immobilienscout24.de/expose/111349605</t>
  </si>
  <si>
    <t>Am Bahnhof Tierpark</t>
  </si>
  <si>
    <t>Immobilien Bischoff</t>
  </si>
  <si>
    <t>E</t>
  </si>
  <si>
    <t>Eigentum statt Negativzins JETZT - 
3 Zi. ETW in Do Oestrich</t>
  </si>
  <si>
    <t>https://www.immobilienscout24.de/expose/113072507</t>
  </si>
  <si>
    <t>Immobilien &amp; Service  Richter e.K.</t>
  </si>
  <si>
    <t>Attraktive 2 Zimmer Wohnung in Dortmund Eving !!! DG links</t>
  </si>
  <si>
    <t>https://www.immobilienscout24.de/expose/114172552</t>
  </si>
  <si>
    <t>immostarter</t>
  </si>
  <si>
    <t>Attraktive 2 Zimmer Wohnung in Dortmund Eving !!! DG rechts</t>
  </si>
  <si>
    <t>https://www.immobilienscout24.de/expose/114173746</t>
  </si>
  <si>
    <t>J. T. Jürgen Trunk Immobilien GmbH</t>
  </si>
  <si>
    <t>! Zwangsversteigerung! freie 2-Zimmer ETW in Dortmund - ohne Erwerbecourtage</t>
  </si>
  <si>
    <t>https://www.immobilienscout24.de/expose/114680814</t>
  </si>
  <si>
    <t>Postbank Immobilien GmbH</t>
  </si>
  <si>
    <t>###Der Start in die eigenen vier Wände ### - reserviert -</t>
  </si>
  <si>
    <t>https://www.immobilienscout24.de/expose/114732240</t>
  </si>
  <si>
    <t>Provinzialstraße</t>
  </si>
  <si>
    <t>Immobilien Winkelmann, Inh. Anja Beissert</t>
  </si>
  <si>
    <t>Schöne 3- Zimmerwohnung  mit Balkon als Kapitalanlage!</t>
  </si>
  <si>
    <t>https://www.immobilienscout24.de/expose/114848585</t>
  </si>
  <si>
    <t>Bannweg</t>
  </si>
  <si>
    <t>Vonovia SE-Selbstständiger Vertriebspartner</t>
  </si>
  <si>
    <t>C</t>
  </si>
  <si>
    <t>Schöne 3-Zimmerwohnung mit Balkon als Kapitalanlage!</t>
  </si>
  <si>
    <t>https://www.immobilienscout24.de/expose/114848587</t>
  </si>
  <si>
    <t>Dortmund Brackel:3 Zimmer mit Balkon als Kapitalanlage!  Selbstnutzung nicht möglich!</t>
  </si>
  <si>
    <t>https://www.immobilienscout24.de/expose/114848599</t>
  </si>
  <si>
    <t>Dingweg</t>
  </si>
  <si>
    <t>F</t>
  </si>
  <si>
    <t>Geräumige 2-Raum-Wohnung in Dortmund-Hombruch ab 1.4.2019 frei!</t>
  </si>
  <si>
    <t>https://www.immobilienscout24.de/expose/114848712</t>
  </si>
  <si>
    <t>Gotthelfstraße</t>
  </si>
  <si>
    <t>G</t>
  </si>
  <si>
    <t>Gotthelfstrasse 3: Kurze Wege nach Hombruch !Kapitalanlage!</t>
  </si>
  <si>
    <t>https://www.immobilienscout24.de/expose/114848713</t>
  </si>
  <si>
    <t>Gotthelfstrasse 1 :Kurze Wege nach Hombruch !Kapitalanlage!</t>
  </si>
  <si>
    <t>https://www.immobilienscout24.de/expose/114848715</t>
  </si>
  <si>
    <t>Dachgeschoss:  3 Zi.-Dachgeschoss-Wohnung ohne Provision ! Ab 1.5.2020 frei!</t>
  </si>
  <si>
    <t>https://www.immobilienscout24.de/expose/114848743</t>
  </si>
  <si>
    <t>Rahmer Straße</t>
  </si>
  <si>
    <t>** 3,5 Zi ETW mit Balkon &amp; Garage in absolut ruhiger Vorortlage **</t>
  </si>
  <si>
    <t>https://www.immobilienscout24.de/expose/114849155</t>
  </si>
  <si>
    <t>Quakmannsweg</t>
  </si>
  <si>
    <t>*PROVISIONSFREI* 60 m² Eigentumswohnung mit Süd-Balkon</t>
  </si>
  <si>
    <t>https://www.immobilienscout24.de/expose/114953439</t>
  </si>
  <si>
    <t>Barten Immobilien</t>
  </si>
  <si>
    <t>Ihre private Altersvorsorge!</t>
  </si>
  <si>
    <t>https://www.immobilienscout24.de/expose/115449747</t>
  </si>
  <si>
    <t>Krokusweg</t>
  </si>
  <si>
    <t>Vonovia SE</t>
  </si>
  <si>
    <t>Mittendrin statt nur dabei!</t>
  </si>
  <si>
    <t>https://www.immobilienscout24.de/expose/115449749</t>
  </si>
  <si>
    <t>Steinhammerstraße</t>
  </si>
  <si>
    <t>sehr gemütlich, sehr gepflegt, Grenze östl. Innenstadt</t>
  </si>
  <si>
    <t>https://www.immobilienscout24.de/expose/115488032</t>
  </si>
  <si>
    <t>Paderborner Str.</t>
  </si>
  <si>
    <t>Immobilien Service Langhoff, Inh. Heidemarie Göke</t>
  </si>
  <si>
    <t>Luxuriöse Eigentumswohnung in Dortstfeld</t>
  </si>
  <si>
    <t>https://www.immobilienscout24.de/expose/115505806</t>
  </si>
  <si>
    <t>unbekannt</t>
  </si>
  <si>
    <t>** 60 m², 3 Zi. Eigentumswohnung in ruhiger Wohnlage sucht neuen Eigentümer **</t>
  </si>
  <si>
    <t>https://www.immobilienscout24.de/expose/115519053</t>
  </si>
  <si>
    <t>Mergelkuhle</t>
  </si>
  <si>
    <t>Schöne Eigentumswohnung in zentraler Lage von Dortmund</t>
  </si>
  <si>
    <t>https://www.immobilienscout24.de/expose/115576592</t>
  </si>
  <si>
    <t>PlanetHome Group GmbH</t>
  </si>
  <si>
    <t>Dortmund-Huckarde: Frie 3 Zimmer, KDB, Balkon !</t>
  </si>
  <si>
    <t>https://www.immobilienscout24.de/expose/115824382</t>
  </si>
  <si>
    <t>Albert-Schweitzer-Weg</t>
  </si>
  <si>
    <t>Statt Miete oder besser Rendite ca.5%
3 Zimmer Eigentumswohnung in Dortmund. 
Anlage oder Eigennut</t>
  </si>
  <si>
    <t>https://www.immobilienscout24.de/expose/115830420</t>
  </si>
  <si>
    <t>Conduct Consult Immobilien GmbH</t>
  </si>
  <si>
    <t>Erdgeschoss:Leere  1 Zimmerwohnung mit Balkon</t>
  </si>
  <si>
    <t>https://www.immobilienscout24.de/expose/116012171</t>
  </si>
  <si>
    <t>Wohnen oder Vermieter sein: Praktisches und zentrales EG-Zuhause Nähe Phönixsee.</t>
  </si>
  <si>
    <t>https://www.immobilienscout24.de/expose/116013216</t>
  </si>
  <si>
    <t>Bürogemeinschaft Frank+Schultz Immobilien</t>
  </si>
  <si>
    <t>Ruhig und beschaulich in Eving: 3-Zi.-ETW in sehr gutem Zustand mit Südbalkon in gepflegtem MFH</t>
  </si>
  <si>
    <t>https://www.immobilienscout24.de/expose/116056774</t>
  </si>
  <si>
    <t>McMakler GmbH</t>
  </si>
  <si>
    <t>Hombruch : 3 Zimmer mit Balkon frei!</t>
  </si>
  <si>
    <t>https://www.immobilienscout24.de/expose/116605379</t>
  </si>
  <si>
    <t>Für Kapitalanleger oder Selbstnutzer:   Eigentumswohnung mit Balkon - Dortmund-Neuasseln</t>
  </si>
  <si>
    <t>https://www.immobilienscout24.de/expose/116644933</t>
  </si>
  <si>
    <t>D</t>
  </si>
  <si>
    <t>Vermietete Kapitalanlage mit Potential in Dortmund</t>
  </si>
  <si>
    <t>https://www.immobilienscout24.de/expose/116762007</t>
  </si>
  <si>
    <t xml:space="preserve">Gepflegte  2-Zimmer ETW mit Stellplatz! </t>
  </si>
  <si>
    <t>https://www.immobilienscout24.de/expose/116887431</t>
  </si>
  <si>
    <t>SEVERIN KG Immobilien seit 1932 Nachf.</t>
  </si>
  <si>
    <t>Vielversprechende Kapitalanlage: Gepflegte 2-Zimmer-Altbauwohnung in zentrumsnaher Lage in Dortmund</t>
  </si>
  <si>
    <t>https://www.immobilienscout24.de/expose/116924998</t>
  </si>
  <si>
    <t>Wohn(t)raum über den Dächern der Stadt!</t>
  </si>
  <si>
    <t>https://www.immobilienscout24.de/expose/116925197</t>
  </si>
  <si>
    <t>ImmoSky Deutschland GmbH</t>
  </si>
  <si>
    <t>Eigenheim oder Renditeobjekt (+Mietpool): Gepflegte 3-Zi.-ETW in begehrter Lage von Dortmund</t>
  </si>
  <si>
    <t>https://www.immobilienscout24.de/expose/116994829</t>
  </si>
  <si>
    <t>LORENZ-Angebot in Dortmund/Gr. BO:  Ideal für die zukunftsorientierte Familie.!2 WE, 1 frei,1 verm.</t>
  </si>
  <si>
    <t>https://www.immobilienscout24.de/expose/117034765</t>
  </si>
  <si>
    <t>IMMOBILIEN LORENZ</t>
  </si>
  <si>
    <t>Kleine Eigentumswohnung im Erdgeschoss!</t>
  </si>
  <si>
    <t>https://www.immobilienscout24.de/expose/117041023</t>
  </si>
  <si>
    <t>Klobesstraße</t>
  </si>
  <si>
    <t>LORENZ-Angebot in Dortmund/Gr. BO:  2 1/2-R.-W. - Ideal für Single o. Paar. Und Handwerker!</t>
  </si>
  <si>
    <t>https://www.immobilienscout24.de/expose/117044162</t>
  </si>
  <si>
    <t>++Eigentumswohnung in sehr ruhiger und gepflegter Lage! Dortmund-Wellinghofen! ++</t>
  </si>
  <si>
    <t>https://www.immobilienscout24.de/expose/117052263</t>
  </si>
  <si>
    <t xml:space="preserve">Godefriedstr. </t>
  </si>
  <si>
    <t>DIS - Deutsche Immobilien Service GmbH</t>
  </si>
  <si>
    <t>Gemütliches Eigenheim oder attraktive Kapitalanlage: Gut geschnittene 3-Zi.-ETW mit Balkon</t>
  </si>
  <si>
    <t>https://www.immobilienscout24.de/expose/117211985</t>
  </si>
  <si>
    <t>Großzügig geschnittene 2,5 Zimmer Wohnung in Dortmund Dorstfeld !!!</t>
  </si>
  <si>
    <t>https://www.immobilienscout24.de/expose/117289854</t>
  </si>
  <si>
    <t>Ansprechende Wohnung mit drei Zimmern Küche, Diele Bad und Balkon in Dortmund Süd (Aplerbeck)</t>
  </si>
  <si>
    <t>https://www.immobilienscout24.de/expose/117314261</t>
  </si>
  <si>
    <t>** Freundliche, helle 2 Zimmerwohnung mit Balkon **</t>
  </si>
  <si>
    <t>https://www.immobilienscout24.de/expose/117394268</t>
  </si>
  <si>
    <t>Geismerg</t>
  </si>
  <si>
    <t>A</t>
  </si>
  <si>
    <t>https://www.immobilienscout24.de/expose/117644708</t>
  </si>
  <si>
    <t>Holtestraße</t>
  </si>
  <si>
    <t>H</t>
  </si>
  <si>
    <t>Erdgeschosswohnung mit 2 Garagen</t>
  </si>
  <si>
    <t>https://www.immobilienscout24.de/expose/117810775</t>
  </si>
  <si>
    <t>Hafnerstr.</t>
  </si>
  <si>
    <t>Immobilien Schütz</t>
  </si>
  <si>
    <t>Rentable Eigentumswohnung als Kapitalanlage in Dortmund-Westerfilde</t>
  </si>
  <si>
    <t>https://www.immobilienscout24.de/expose/117994776</t>
  </si>
  <si>
    <t>EKIN IMMOBILIEN</t>
  </si>
  <si>
    <t>Großzügige 3-4 Zimmerwohnung - langfristig vermietet</t>
  </si>
  <si>
    <t>https://www.immobilienscout24.de/expose/117998397</t>
  </si>
  <si>
    <t>Immoviser GmbH</t>
  </si>
  <si>
    <t>Dortmund-Sölde:  2,5-Zimmer ETW mit Balkon und Stellplatz!</t>
  </si>
  <si>
    <t>https://www.immobilienscout24.de/expose/118037298</t>
  </si>
  <si>
    <t>Renditestarke Wohnung- Frisch renoviert - Ideale Kapitalanlage</t>
  </si>
  <si>
    <t>https://www.immobilienscout24.de/expose/118057948</t>
  </si>
  <si>
    <t>Krückenweg</t>
  </si>
  <si>
    <t>J&amp;K Wohninvest GmbH</t>
  </si>
  <si>
    <t>Sichere Kapitalanlage im Kaiserstraßenviertel!</t>
  </si>
  <si>
    <t>https://www.immobilienscout24.de/expose/118147487</t>
  </si>
  <si>
    <t>Von-der-Tann-Straße</t>
  </si>
  <si>
    <t>Haus &amp; Grund Immobilien GmbH</t>
  </si>
  <si>
    <t>Nettorendite 5,60%</t>
  </si>
  <si>
    <t>https://www.immobilienscout24.de/expose/118218036</t>
  </si>
  <si>
    <t>Provinzialstr.</t>
  </si>
  <si>
    <t>Maklerzentrale Rheinland Michael Münstedt e.K.</t>
  </si>
  <si>
    <t>Kurze Wege nach Hombruch:Frweie Wohnung in der Gotthelfstrasse 9!</t>
  </si>
  <si>
    <t>https://www.immobilienscout24.de/expose/118301638</t>
  </si>
  <si>
    <t>Kapitalanlage im Kaiserstraßenviertel - Kleine Eigentumswohnung mit optimaler Aufteilung</t>
  </si>
  <si>
    <t>https://www.immobilienscout24.de/expose/118356519</t>
  </si>
  <si>
    <t>ROSENKRANZ &amp; KREIS IMMOBILIEN</t>
  </si>
  <si>
    <t>Top-Lage zum Schnäppchenpreis: Sanierungsbedürftige 2-Zimmer-Wohnung mit Balkon &amp; Garage in Brechten</t>
  </si>
  <si>
    <t>https://www.immobilienscout24.de/expose/118357961</t>
  </si>
  <si>
    <t>KOBA Immobilien GmbH</t>
  </si>
  <si>
    <t>Lichtdurchflutete und renovierte 2,5 Zimmer im Dachgeschoss eines gepflegten Mehrfamilienhauses</t>
  </si>
  <si>
    <t>https://www.immobilienscout24.de/expose/118395841</t>
  </si>
  <si>
    <t>Homeday GmbH</t>
  </si>
  <si>
    <t>Gesucht. Gefunden. Gekauft! Machen Sie es sich gemütlich.</t>
  </si>
  <si>
    <t>https://www.immobilienscout24.de/expose/118599037</t>
  </si>
  <si>
    <t>CENTURY 21 Schmittmann &amp; Kollegen</t>
  </si>
  <si>
    <t>Hochwertig renovierte Eigentumswohnung(en) - Renditeobjekt</t>
  </si>
  <si>
    <t>Traumimmobilien.online</t>
  </si>
  <si>
    <t>Immo ID</t>
  </si>
  <si>
    <t>Falls kein Hausgeld</t>
  </si>
  <si>
    <t>Miete (ML)</t>
  </si>
  <si>
    <t>Dortmund - Brackel: Vermietete Kapitalanlage mit 2 Zimmern im Dachgeschoss.</t>
  </si>
  <si>
    <t>https://www.immobilienscout24.de/expose/114848594</t>
  </si>
  <si>
    <t>Unterer Sendweg</t>
  </si>
  <si>
    <t>Nettorendite 5,40%</t>
  </si>
  <si>
    <t>https://www.immobilienscout24.de/expose/116718706</t>
  </si>
  <si>
    <t>Frei werdende 2,5 Zimmer ETW mit Süd-Balkon in schöner Lage von Brackel</t>
  </si>
  <si>
    <t>https://www.immobilienscout24.de/expose/118766623</t>
  </si>
  <si>
    <t>Gemütliche Eigentumswohnung in Dortmund-Körne</t>
  </si>
  <si>
    <t>https://www.immobilienscout24.de/expose/118852876</t>
  </si>
  <si>
    <t>Zentrumsnah, urban, Altbaucharme: Vermietetes Apartment in begehrter Lage</t>
  </si>
  <si>
    <t>https://www.immobilienscout24.de/expose/118879033</t>
  </si>
  <si>
    <t>Stadtwohnung. Ruhigen Herzschlags am Puls des Geschehens.</t>
  </si>
  <si>
    <t>https://www.immobilienscout24.de/expose/118906395</t>
  </si>
  <si>
    <t>Für Kapitalanleger: Helle 3-Zi.-ETW mit Balkon</t>
  </si>
  <si>
    <t>https://www.immobilienscout24.de/expose/118927284</t>
  </si>
  <si>
    <t>https://www.immobilienscout24.de/expose/118927820</t>
  </si>
  <si>
    <t>Viel Potenzial: 3,5-Zimmer-Wohnung mit Balkon und Stellplatz</t>
  </si>
  <si>
    <t>https://www.immobilienscout24.de/expose/118929679</t>
  </si>
  <si>
    <t xml:space="preserve">Kleine Kapitalanlage Nahe der TU / Uni Dortmund im schönen Barop </t>
  </si>
  <si>
    <t>https://www.immobilienscout24.de/expose/119105711</t>
  </si>
  <si>
    <t>Link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</si>
</sst>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 _€_-;\-* #,##0.00\ _€_-;_-* &quot;-&quot;??\ _€_-;_-@_-"/>
    <numFmt numFmtId="165" formatCode="_(&quot;$&quot;* #,##0.00_);_(&quot;$&quot;* \(#,##0.00\);_(&quot;$&quot;* &quot;-&quot;??_);_(@_)"/>
    <numFmt numFmtId="166" formatCode="0.0%"/>
    <numFmt numFmtId="167" formatCode="_-* #,##0.00\ [$€-407]_-;\-* #,##0.00\ [$€-407]_-;_-* &quot;-&quot;??\ [$€-407]_-;_-@_-"/>
    <numFmt numFmtId="168" formatCode="#,##0.00\ [$€-407];\-#,##0.00\ [$€-407]"/>
    <numFmt numFmtId="169" formatCode="_-[$€-2]\ * #,##0.00_-;\-[$€-2]\ * #,##0.00_-;_-[$€-2]\ * &quot;-&quot;??_-;_-@_-"/>
    <numFmt numFmtId="170" formatCode="0.000%"/>
  </numFmts>
  <fonts count="9" x14ac:knownFonts="1">
    <font>
      <sz val="12"/>
      <color theme="1"/>
      <name val="Calibri"/>
      <family val="2"/>
      <scheme val="minor"/>
    </font>
    <font>
      <sz val="12"/>
      <color theme="1"/>
      <name val="Calibri"/>
      <family val="2"/>
      <scheme val="minor"/>
    </font>
    <font>
      <b/>
      <sz val="12"/>
      <color theme="1"/>
      <name val="Calibri"/>
      <family val="2"/>
      <scheme val="minor"/>
    </font>
    <font>
      <u/>
      <sz val="12"/>
      <color theme="10"/>
      <name val="Calibri"/>
      <family val="2"/>
      <scheme val="minor"/>
    </font>
    <font>
      <b/>
      <i/>
      <sz val="14"/>
      <color theme="1"/>
      <name val="Calibri"/>
      <family val="2"/>
      <scheme val="minor"/>
    </font>
    <font>
      <b/>
      <u/>
      <sz val="16"/>
      <color theme="1"/>
      <name val="Calibri"/>
      <family val="2"/>
      <scheme val="minor"/>
    </font>
    <font>
      <b/>
      <u/>
      <sz val="14"/>
      <color theme="1"/>
      <name val="Calibri"/>
      <family val="2"/>
      <scheme val="minor"/>
    </font>
    <font>
      <sz val="10"/>
      <color indexed="63"/>
      <name val="Arial"/>
      <family val="2"/>
    </font>
    <font>
      <b/>
      <sz val="14"/>
      <color theme="1"/>
      <name val="Calibri"/>
      <family val="2"/>
      <scheme val="minor"/>
    </font>
  </fonts>
  <fills count="6">
    <fill>
      <patternFill patternType="none"/>
    </fill>
    <fill>
      <patternFill patternType="gray125"/>
    </fill>
    <fill>
      <patternFill patternType="solid">
        <fgColor rgb="FFFFC000"/>
        <bgColor indexed="64"/>
      </patternFill>
    </fill>
    <fill>
      <patternFill patternType="solid">
        <fgColor rgb="FF92D050"/>
        <bgColor indexed="64"/>
      </patternFill>
    </fill>
    <fill>
      <patternFill patternType="solid">
        <fgColor rgb="FFFFFF00"/>
        <bgColor indexed="64"/>
      </patternFill>
    </fill>
    <fill>
      <patternFill patternType="solid">
        <fgColor indexed="9"/>
        <bgColor indexed="64"/>
      </patternFill>
    </fill>
  </fills>
  <borders count="6">
    <border>
      <left/>
      <right/>
      <top/>
      <bottom/>
      <diagonal/>
    </border>
    <border>
      <left/>
      <right/>
      <top/>
      <bottom style="double">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right/>
      <top/>
      <bottom style="medium">
        <color indexed="64"/>
      </bottom>
      <diagonal/>
    </border>
  </borders>
  <cellStyleXfs count="4">
    <xf numFmtId="0" fontId="0" fillId="0" borderId="0"/>
    <xf numFmtId="165" fontId="1" fillId="0" borderId="0" applyFont="0" applyFill="0" applyBorder="0" applyAlignment="0" applyProtection="0"/>
    <xf numFmtId="9" fontId="1" fillId="0" borderId="0" applyFont="0" applyFill="0" applyBorder="0" applyAlignment="0" applyProtection="0"/>
    <xf numFmtId="0" fontId="3" fillId="0" borderId="0" applyNumberFormat="0" applyFill="0" applyBorder="0" applyAlignment="0" applyProtection="0"/>
  </cellStyleXfs>
  <cellXfs count="40">
    <xf numFmtId="0" fontId="0" fillId="0" borderId="0" xfId="0"/>
    <xf numFmtId="0" fontId="3" fillId="0" borderId="0" xfId="3"/>
    <xf numFmtId="9" fontId="0" fillId="0" borderId="0" xfId="2" applyFont="1"/>
    <xf numFmtId="166" fontId="0" fillId="0" borderId="0" xfId="2" applyNumberFormat="1" applyFont="1"/>
    <xf numFmtId="0" fontId="2" fillId="0" borderId="0" xfId="0" applyFont="1"/>
    <xf numFmtId="0" fontId="4" fillId="2" borderId="0" xfId="0" applyFont="1" applyFill="1"/>
    <xf numFmtId="0" fontId="5" fillId="0" borderId="0" xfId="0" applyFont="1"/>
    <xf numFmtId="0" fontId="6" fillId="0" borderId="0" xfId="0" applyFont="1"/>
    <xf numFmtId="165" fontId="0" fillId="0" borderId="0" xfId="1" applyFont="1"/>
    <xf numFmtId="164" fontId="0" fillId="0" borderId="0" xfId="0" applyNumberFormat="1"/>
    <xf numFmtId="167" fontId="0" fillId="0" borderId="0" xfId="1" applyNumberFormat="1" applyFont="1"/>
    <xf numFmtId="167" fontId="0" fillId="0" borderId="0" xfId="0" applyNumberFormat="1"/>
    <xf numFmtId="2" fontId="0" fillId="0" borderId="0" xfId="0" applyNumberFormat="1"/>
    <xf numFmtId="168" fontId="0" fillId="0" borderId="0" xfId="0" applyNumberFormat="1"/>
    <xf numFmtId="10" fontId="0" fillId="0" borderId="0" xfId="2" applyNumberFormat="1" applyFont="1"/>
    <xf numFmtId="0" fontId="2" fillId="0" borderId="1" xfId="0" applyFont="1" applyBorder="1"/>
    <xf numFmtId="168" fontId="0" fillId="0" borderId="1" xfId="0" applyNumberFormat="1" applyBorder="1"/>
    <xf numFmtId="167" fontId="0" fillId="0" borderId="1" xfId="0" applyNumberFormat="1" applyBorder="1"/>
    <xf numFmtId="168" fontId="0" fillId="3" borderId="0" xfId="0" applyNumberFormat="1" applyFill="1"/>
    <xf numFmtId="0" fontId="2" fillId="0" borderId="0" xfId="0" applyFont="1" applyFill="1"/>
    <xf numFmtId="10" fontId="2" fillId="0" borderId="0" xfId="2" applyNumberFormat="1" applyFont="1"/>
    <xf numFmtId="0" fontId="0" fillId="4" borderId="0" xfId="0" applyFill="1"/>
    <xf numFmtId="10" fontId="0" fillId="4" borderId="0" xfId="2" applyNumberFormat="1" applyFont="1" applyFill="1"/>
    <xf numFmtId="0" fontId="7" fillId="5" borderId="0" xfId="0" applyFont="1" applyFill="1"/>
    <xf numFmtId="0" fontId="7" fillId="5" borderId="2" xfId="0" applyFont="1" applyFill="1" applyBorder="1"/>
    <xf numFmtId="0" fontId="7" fillId="5" borderId="3" xfId="0" applyFont="1" applyFill="1" applyBorder="1"/>
    <xf numFmtId="169" fontId="0" fillId="0" borderId="0" xfId="1" applyNumberFormat="1" applyFont="1"/>
    <xf numFmtId="169" fontId="0" fillId="0" borderId="0" xfId="0" applyNumberFormat="1"/>
    <xf numFmtId="170" fontId="0" fillId="0" borderId="0" xfId="2" applyNumberFormat="1" applyFont="1"/>
    <xf numFmtId="9" fontId="0" fillId="0" borderId="0" xfId="2" applyNumberFormat="1" applyFont="1"/>
    <xf numFmtId="167" fontId="7" fillId="5" borderId="3" xfId="1" applyNumberFormat="1" applyFont="1" applyFill="1" applyBorder="1"/>
    <xf numFmtId="167" fontId="7" fillId="5" borderId="0" xfId="1" applyNumberFormat="1" applyFont="1" applyFill="1"/>
    <xf numFmtId="0" fontId="0" fillId="0" borderId="0" xfId="0" applyAlignment="1">
      <alignment wrapText="1"/>
    </xf>
    <xf numFmtId="0" fontId="0" fillId="0" borderId="4" xfId="0" applyBorder="1"/>
    <xf numFmtId="0" fontId="2" fillId="0" borderId="5" xfId="0" applyFont="1" applyBorder="1"/>
    <xf numFmtId="166" fontId="0" fillId="0" borderId="5" xfId="2" applyNumberFormat="1" applyFont="1" applyBorder="1"/>
    <xf numFmtId="10" fontId="4" fillId="2" borderId="0" xfId="2" applyNumberFormat="1" applyFont="1" applyFill="1"/>
    <xf numFmtId="0" fontId="8" fillId="2" borderId="0" xfId="0" applyFont="1" applyFill="1"/>
    <xf numFmtId="167" fontId="0" fillId="0" borderId="5" xfId="1" applyNumberFormat="1" applyFont="1" applyBorder="1"/>
    <xf numFmtId="0" fontId="0" fillId="0" borderId="0" xfId="0" applyAlignment="1">
      <alignment horizontal="center"/>
    </xf>
  </cellXfs>
  <cellStyles count="4">
    <cellStyle name="Link" xfId="3" builtinId="8"/>
    <cellStyle name="Prozent" xfId="2" builtinId="5"/>
    <cellStyle name="Standard" xfId="0" builtinId="0"/>
    <cellStyle name="Währung" xfId="1" builtinId="4"/>
  </cellStyles>
  <dxfs count="65">
    <dxf>
      <border>
        <left/>
        <right/>
        <top/>
        <bottom/>
      </border>
    </dxf>
    <dxf>
      <fill>
        <patternFill>
          <bgColor indexed="9"/>
        </patternFill>
      </fill>
      <border>
        <left style="thin">
          <color indexed="64"/>
        </left>
        <right style="thin">
          <color indexed="64"/>
        </right>
        <top/>
        <bottom style="thin">
          <color indexed="64"/>
        </bottom>
      </border>
    </dxf>
    <dxf>
      <fill>
        <patternFill>
          <bgColor indexed="9"/>
        </patternFill>
      </fill>
      <border>
        <left style="thin">
          <color indexed="64"/>
        </left>
        <right style="thin">
          <color indexed="64"/>
        </right>
        <top/>
        <bottom/>
      </border>
    </dxf>
    <dxf>
      <border>
        <left/>
        <right/>
        <top/>
        <bottom/>
      </border>
    </dxf>
    <dxf>
      <fill>
        <patternFill>
          <bgColor indexed="31"/>
        </patternFill>
      </fill>
      <border>
        <left style="thin">
          <color indexed="64"/>
        </left>
        <right style="thin">
          <color indexed="64"/>
        </right>
        <top/>
        <bottom style="thin">
          <color indexed="64"/>
        </bottom>
      </border>
    </dxf>
    <dxf>
      <fill>
        <patternFill>
          <bgColor indexed="31"/>
        </patternFill>
      </fill>
      <border>
        <left style="thin">
          <color indexed="64"/>
        </left>
        <right style="thin">
          <color indexed="64"/>
        </right>
        <top/>
        <bottom/>
      </border>
    </dxf>
    <dxf>
      <border>
        <left/>
        <right/>
        <top style="thin">
          <color indexed="64"/>
        </top>
        <bottom/>
      </border>
    </dxf>
    <dxf>
      <fill>
        <patternFill>
          <bgColor indexed="9"/>
        </patternFill>
      </fill>
      <border>
        <left style="thin">
          <color indexed="64"/>
        </left>
        <right style="thin">
          <color indexed="64"/>
        </right>
        <top/>
        <bottom style="thin">
          <color indexed="64"/>
        </bottom>
      </border>
    </dxf>
    <dxf>
      <fill>
        <patternFill>
          <bgColor indexed="9"/>
        </patternFill>
      </fill>
      <border>
        <left style="thin">
          <color indexed="64"/>
        </left>
        <right style="thin">
          <color indexed="64"/>
        </right>
        <top/>
        <bottom/>
      </border>
    </dxf>
    <dxf>
      <border>
        <left/>
        <right/>
        <top style="thin">
          <color indexed="64"/>
        </top>
        <bottom/>
      </border>
    </dxf>
    <dxf>
      <fill>
        <patternFill>
          <bgColor indexed="31"/>
        </patternFill>
      </fill>
      <border>
        <left style="thin">
          <color indexed="64"/>
        </left>
        <right style="thin">
          <color indexed="64"/>
        </right>
        <top/>
        <bottom style="thin">
          <color indexed="64"/>
        </bottom>
      </border>
    </dxf>
    <dxf>
      <fill>
        <patternFill>
          <bgColor indexed="31"/>
        </patternFill>
      </fill>
      <border>
        <left style="thin">
          <color indexed="64"/>
        </left>
        <right style="thin">
          <color indexed="64"/>
        </right>
        <top/>
        <bottom/>
      </border>
    </dxf>
    <dxf>
      <border>
        <left/>
        <right/>
        <top/>
        <bottom/>
      </border>
    </dxf>
    <dxf>
      <fill>
        <patternFill>
          <bgColor indexed="31"/>
        </patternFill>
      </fill>
      <border>
        <left style="thin">
          <color indexed="64"/>
        </left>
        <right style="thin">
          <color indexed="64"/>
        </right>
        <top/>
        <bottom/>
      </border>
    </dxf>
    <dxf>
      <fill>
        <patternFill>
          <bgColor indexed="31"/>
        </patternFill>
      </fill>
      <border>
        <left style="thin">
          <color indexed="64"/>
        </left>
        <right style="thin">
          <color indexed="64"/>
        </right>
        <top/>
        <bottom style="thin">
          <color indexed="64"/>
        </bottom>
      </border>
    </dxf>
    <dxf>
      <fill>
        <patternFill>
          <bgColor indexed="31"/>
        </patternFill>
      </fill>
      <border>
        <left style="thin">
          <color indexed="64"/>
        </left>
        <right style="thin">
          <color indexed="64"/>
        </right>
        <top/>
        <bottom style="thin">
          <color indexed="64"/>
        </bottom>
      </border>
    </dxf>
    <dxf>
      <fill>
        <patternFill>
          <bgColor indexed="31"/>
        </patternFill>
      </fill>
      <border>
        <left style="thin">
          <color indexed="64"/>
        </left>
        <right style="thin">
          <color indexed="64"/>
        </right>
        <top/>
        <bottom/>
      </border>
    </dxf>
    <dxf>
      <fill>
        <patternFill>
          <bgColor indexed="9"/>
        </patternFill>
      </fill>
      <border>
        <left/>
        <right/>
        <top/>
        <bottom/>
      </border>
    </dxf>
    <dxf>
      <fill>
        <patternFill>
          <bgColor indexed="31"/>
        </patternFill>
      </fill>
      <border>
        <left style="thin">
          <color indexed="64"/>
        </left>
        <right style="thin">
          <color indexed="64"/>
        </right>
        <top/>
        <bottom style="thin">
          <color indexed="64"/>
        </bottom>
      </border>
    </dxf>
    <dxf>
      <fill>
        <patternFill>
          <bgColor indexed="31"/>
        </patternFill>
      </fill>
      <border>
        <left style="thin">
          <color indexed="64"/>
        </left>
        <right style="thin">
          <color indexed="64"/>
        </right>
        <top/>
        <bottom/>
      </border>
    </dxf>
    <dxf>
      <fill>
        <patternFill>
          <bgColor indexed="9"/>
        </patternFill>
      </fill>
      <border>
        <left/>
        <right/>
        <top/>
        <bottom/>
      </border>
    </dxf>
    <dxf>
      <border>
        <left/>
        <right/>
        <top style="thin">
          <color indexed="64"/>
        </top>
        <bottom/>
      </border>
    </dxf>
    <dxf>
      <fill>
        <patternFill>
          <bgColor indexed="31"/>
        </patternFill>
      </fill>
      <border>
        <left style="thin">
          <color indexed="64"/>
        </left>
        <right style="thin">
          <color indexed="64"/>
        </right>
        <top/>
        <bottom/>
      </border>
    </dxf>
    <dxf>
      <border>
        <left/>
        <right/>
        <top/>
        <bottom/>
      </border>
    </dxf>
    <dxf>
      <border>
        <left/>
        <right/>
        <top style="thin">
          <color indexed="64"/>
        </top>
        <bottom/>
      </border>
    </dxf>
    <dxf>
      <border>
        <left style="thin">
          <color indexed="64"/>
        </left>
        <right style="thin">
          <color indexed="64"/>
        </right>
        <top/>
        <bottom/>
      </border>
    </dxf>
    <dxf>
      <border>
        <left/>
        <right/>
        <top/>
        <bottom/>
      </border>
    </dxf>
    <dxf>
      <fill>
        <patternFill>
          <bgColor indexed="9"/>
        </patternFill>
      </fill>
      <border>
        <left style="thin">
          <color indexed="64"/>
        </left>
        <right style="thin">
          <color indexed="64"/>
        </right>
        <top/>
        <bottom style="thin">
          <color indexed="64"/>
        </bottom>
      </border>
    </dxf>
    <dxf>
      <fill>
        <patternFill>
          <bgColor indexed="9"/>
        </patternFill>
      </fill>
      <border>
        <left style="thin">
          <color indexed="64"/>
        </left>
        <right style="thin">
          <color indexed="64"/>
        </right>
        <top/>
        <bottom/>
      </border>
    </dxf>
    <dxf>
      <fill>
        <patternFill>
          <bgColor indexed="9"/>
        </patternFill>
      </fill>
      <border>
        <left/>
        <right/>
        <top/>
        <bottom/>
      </border>
    </dxf>
    <dxf>
      <fill>
        <patternFill>
          <bgColor indexed="9"/>
        </patternFill>
      </fill>
      <border>
        <left style="thin">
          <color indexed="64"/>
        </left>
        <right style="thin">
          <color indexed="64"/>
        </right>
        <top/>
        <bottom style="thin">
          <color indexed="64"/>
        </bottom>
      </border>
    </dxf>
    <dxf>
      <fill>
        <patternFill>
          <bgColor indexed="9"/>
        </patternFill>
      </fill>
      <border>
        <left style="thin">
          <color indexed="64"/>
        </left>
        <right style="thin">
          <color indexed="64"/>
        </right>
        <top/>
        <bottom/>
      </border>
    </dxf>
    <dxf>
      <fill>
        <patternFill>
          <bgColor indexed="9"/>
        </patternFill>
      </fill>
      <border>
        <left/>
        <right/>
        <top/>
        <bottom/>
      </border>
    </dxf>
    <dxf>
      <border>
        <left/>
        <right/>
        <top/>
        <bottom/>
      </border>
    </dxf>
    <dxf>
      <border>
        <left style="thin">
          <color indexed="64"/>
        </left>
        <right style="thin">
          <color indexed="64"/>
        </right>
        <top/>
        <bottom/>
      </border>
    </dxf>
    <dxf>
      <border>
        <left style="thin">
          <color indexed="64"/>
        </left>
        <right style="thin">
          <color indexed="64"/>
        </right>
        <top/>
        <bottom style="thin">
          <color indexed="64"/>
        </bottom>
      </border>
    </dxf>
    <dxf>
      <border>
        <left/>
        <right/>
        <top/>
        <bottom/>
      </border>
    </dxf>
    <dxf>
      <border>
        <left style="thin">
          <color indexed="64"/>
        </left>
        <right style="thin">
          <color indexed="64"/>
        </right>
        <top/>
        <bottom style="thin">
          <color indexed="64"/>
        </bottom>
      </border>
    </dxf>
    <dxf>
      <border>
        <left style="thin">
          <color indexed="64"/>
        </left>
        <right style="thin">
          <color indexed="64"/>
        </right>
        <top/>
        <bottom/>
      </border>
    </dxf>
    <dxf>
      <border>
        <left style="thin">
          <color indexed="64"/>
        </left>
        <right style="thin">
          <color indexed="64"/>
        </right>
        <top style="thin">
          <color indexed="64"/>
        </top>
        <bottom/>
      </border>
    </dxf>
    <dxf>
      <border>
        <left style="thin">
          <color indexed="64"/>
        </left>
        <right style="thin">
          <color indexed="64"/>
        </right>
        <top style="thin">
          <color indexed="64"/>
        </top>
        <bottom style="thin">
          <color indexed="64"/>
        </bottom>
      </border>
    </dxf>
    <dxf>
      <border>
        <left/>
        <right/>
        <top style="thin">
          <color indexed="64"/>
        </top>
        <bottom/>
      </border>
    </dxf>
    <dxf>
      <border>
        <left style="thin">
          <color indexed="64"/>
        </left>
        <right style="thin">
          <color indexed="64"/>
        </right>
        <top/>
        <bottom style="thin">
          <color indexed="64"/>
        </bottom>
      </border>
    </dxf>
    <dxf>
      <border>
        <left style="thin">
          <color indexed="64"/>
        </left>
        <right style="thin">
          <color indexed="64"/>
        </right>
        <top/>
        <bottom/>
      </border>
    </dxf>
    <dxf>
      <border>
        <left/>
        <right/>
        <top style="thin">
          <color indexed="64"/>
        </top>
        <bottom/>
      </border>
    </dxf>
    <dxf>
      <border>
        <left style="thin">
          <color indexed="64"/>
        </left>
        <right style="thin">
          <color indexed="64"/>
        </right>
        <top/>
        <bottom style="thin">
          <color indexed="64"/>
        </bottom>
      </border>
    </dxf>
    <dxf>
      <border>
        <left style="thin">
          <color indexed="64"/>
        </left>
        <right style="thin">
          <color indexed="64"/>
        </right>
        <top/>
        <bottom/>
      </border>
    </dxf>
    <dxf>
      <fill>
        <patternFill>
          <bgColor indexed="31"/>
        </patternFill>
      </fill>
      <border>
        <left style="thin">
          <color indexed="64"/>
        </left>
        <right style="thin">
          <color indexed="64"/>
        </right>
        <top/>
        <bottom/>
      </border>
    </dxf>
    <dxf>
      <fill>
        <patternFill>
          <bgColor indexed="31"/>
        </patternFill>
      </fill>
      <border>
        <left style="thin">
          <color indexed="64"/>
        </left>
        <right style="thin">
          <color indexed="64"/>
        </right>
        <top style="thin">
          <color indexed="64"/>
        </top>
        <bottom/>
      </border>
    </dxf>
    <dxf>
      <border>
        <left/>
        <right/>
        <top style="thin">
          <color indexed="64"/>
        </top>
        <bottom/>
      </border>
    </dxf>
    <dxf>
      <fill>
        <patternFill>
          <bgColor indexed="31"/>
        </patternFill>
      </fill>
      <border>
        <left style="thin">
          <color indexed="64"/>
        </left>
        <right style="thin">
          <color indexed="64"/>
        </right>
        <top/>
        <bottom/>
      </border>
    </dxf>
    <dxf>
      <border>
        <left/>
        <right/>
        <top style="thin">
          <color indexed="64"/>
        </top>
        <bottom/>
      </border>
    </dxf>
    <dxf>
      <border>
        <left/>
        <right/>
        <top/>
        <bottom/>
      </border>
    </dxf>
    <dxf>
      <border>
        <left style="thin">
          <color indexed="64"/>
        </left>
        <right style="thin">
          <color indexed="64"/>
        </right>
        <top/>
        <bottom style="thin">
          <color indexed="64"/>
        </bottom>
      </border>
    </dxf>
    <dxf>
      <border>
        <left/>
        <right/>
        <top style="thin">
          <color indexed="64"/>
        </top>
        <bottom/>
      </border>
    </dxf>
    <dxf>
      <border>
        <left/>
        <right/>
        <top/>
        <bottom/>
      </border>
    </dxf>
    <dxf>
      <border>
        <left style="thin">
          <color indexed="64"/>
        </left>
        <right style="thin">
          <color indexed="64"/>
        </right>
        <top/>
        <bottom/>
      </border>
    </dxf>
    <dxf>
      <border>
        <left/>
        <right/>
        <top style="thin">
          <color indexed="64"/>
        </top>
        <bottom/>
      </border>
    </dxf>
    <dxf>
      <border>
        <left/>
        <right/>
        <top/>
        <bottom/>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ustomProperty" Target="../customProperty1.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www.immobilienscout24.de/expose/118927820" TargetMode="External"/><Relationship Id="rId2" Type="http://schemas.openxmlformats.org/officeDocument/2006/relationships/hyperlink" Target="https://www.immobilienscout24.de/expose/115519053" TargetMode="External"/><Relationship Id="rId1" Type="http://schemas.openxmlformats.org/officeDocument/2006/relationships/hyperlink" Target="https://www.immobilienscout24.de/expose/118927284" TargetMode="External"/></Relationships>
</file>

<file path=xl/worksheets/_rels/sheet4.xml.rels><?xml version="1.0" encoding="UTF-8" standalone="yes"?>
<Relationships xmlns="http://schemas.openxmlformats.org/package/2006/relationships"><Relationship Id="rId3" Type="http://schemas.openxmlformats.org/officeDocument/2006/relationships/customProperty" Target="../customProperty2.bin"/><Relationship Id="rId2" Type="http://schemas.openxmlformats.org/officeDocument/2006/relationships/printerSettings" Target="../printerSettings/printerSettings2.bin"/><Relationship Id="rId1" Type="http://schemas.openxmlformats.org/officeDocument/2006/relationships/hyperlink" Target="https://www.wohnungsboerse.net/mietspiegel-Dortmund/5209"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KeyFigures"/>
  <dimension ref="B1:I62"/>
  <sheetViews>
    <sheetView tabSelected="1" topLeftCell="A10" workbookViewId="0">
      <selection activeCell="F16" sqref="F16"/>
    </sheetView>
  </sheetViews>
  <sheetFormatPr baseColWidth="10" defaultColWidth="11" defaultRowHeight="15.75" x14ac:dyDescent="0.25"/>
  <cols>
    <col min="2" max="2" width="32.25" customWidth="1"/>
    <col min="3" max="3" width="17.5" customWidth="1"/>
    <col min="5" max="5" width="17.375" customWidth="1"/>
    <col min="6" max="6" width="32.625" bestFit="1" customWidth="1"/>
  </cols>
  <sheetData>
    <row r="1" spans="2:9" ht="18" customHeight="1" x14ac:dyDescent="0.35">
      <c r="B1" s="6" t="s">
        <v>75</v>
      </c>
    </row>
    <row r="2" spans="2:9" ht="16.5" customHeight="1" x14ac:dyDescent="0.3">
      <c r="B2" s="4" t="s">
        <v>355</v>
      </c>
      <c r="C2" s="5">
        <v>29</v>
      </c>
      <c r="F2" s="7" t="s">
        <v>107</v>
      </c>
      <c r="H2" s="10"/>
      <c r="I2" s="10"/>
    </row>
    <row r="3" spans="2:9" ht="16.5" customHeight="1" x14ac:dyDescent="0.25">
      <c r="B3" s="4" t="s">
        <v>69</v>
      </c>
      <c r="C3" t="str">
        <f>VLOOKUP($C$2,Scraper_XL!$A:$AX,MATCH("title",Scraper_XL!$A$2:$AX$2,0),FALSE)</f>
        <v>Für Kapitalanleger: Helle 3-Zi.-ETW mit Balkon</v>
      </c>
      <c r="F3" s="4" t="s">
        <v>99</v>
      </c>
      <c r="G3" s="13">
        <f>$C$51-$C$36-$C$43-$C$42</f>
        <v>143.86084533333332</v>
      </c>
      <c r="H3" s="10"/>
      <c r="I3" s="10"/>
    </row>
    <row r="4" spans="2:9" ht="16.5" customHeight="1" x14ac:dyDescent="0.25">
      <c r="B4" s="4" t="s">
        <v>85</v>
      </c>
      <c r="C4">
        <f>VLOOKUP($C$2,Scraper_XL!$A:$AX,MATCH("livingSpace",Scraper_XL!$A$2:$AX$2,0),FALSE)</f>
        <v>65</v>
      </c>
      <c r="F4" s="4" t="s">
        <v>97</v>
      </c>
      <c r="G4" s="13">
        <f>$G$3*$D$34</f>
        <v>61.860163493333324</v>
      </c>
      <c r="H4" s="10"/>
      <c r="I4" s="10"/>
    </row>
    <row r="5" spans="2:9" ht="16.5" customHeight="1" x14ac:dyDescent="0.25">
      <c r="B5" s="4" t="s">
        <v>86</v>
      </c>
      <c r="C5">
        <f>VLOOKUP($C$2,Scraper_XL!$A:$AX,MATCH("numberOfRooms",Scraper_XL!$A$2:$AX$2,0),FALSE)</f>
        <v>3</v>
      </c>
      <c r="F5" s="4" t="s">
        <v>103</v>
      </c>
      <c r="G5" s="13">
        <f>$C$51-$C$45-$G$4</f>
        <v>40.575161537880852</v>
      </c>
      <c r="H5" s="11"/>
    </row>
    <row r="6" spans="2:9" ht="16.5" customHeight="1" x14ac:dyDescent="0.25">
      <c r="B6" s="4" t="s">
        <v>115</v>
      </c>
      <c r="F6" s="19" t="s">
        <v>113</v>
      </c>
      <c r="G6" s="18">
        <f>$G$5-$C$39</f>
        <v>8.0751615378808523</v>
      </c>
      <c r="H6" s="11"/>
    </row>
    <row r="7" spans="2:9" ht="16.5" customHeight="1" x14ac:dyDescent="0.25">
      <c r="B7" s="4" t="s">
        <v>117</v>
      </c>
      <c r="C7" t="str">
        <f>VLOOKUP($C$2,Scraper_XL!$A:$AX,MATCH("energyEfficiencyClass",Scraper_XL!$A$2:$AX$2,0),FALSE)</f>
        <v>F</v>
      </c>
      <c r="F7" s="4" t="s">
        <v>109</v>
      </c>
      <c r="G7" s="14">
        <f>$C$51*12/$C$22</f>
        <v>4.9999305565200484E-2</v>
      </c>
      <c r="H7" t="s">
        <v>114</v>
      </c>
    </row>
    <row r="8" spans="2:9" ht="16.5" customHeight="1" x14ac:dyDescent="0.25">
      <c r="B8" s="4" t="s">
        <v>118</v>
      </c>
      <c r="F8" s="4" t="s">
        <v>111</v>
      </c>
      <c r="G8" s="13">
        <f>12*($C$51-$C$42-$C$43)</f>
        <v>3682.3581439999998</v>
      </c>
    </row>
    <row r="9" spans="2:9" ht="16.5" customHeight="1" x14ac:dyDescent="0.25">
      <c r="B9" s="4" t="s">
        <v>74</v>
      </c>
      <c r="F9" s="4" t="s">
        <v>112</v>
      </c>
      <c r="G9" s="3">
        <f>$G$8/$C$22</f>
        <v>3.6530823421103281E-2</v>
      </c>
    </row>
    <row r="10" spans="2:9" ht="16.5" customHeight="1" x14ac:dyDescent="0.25">
      <c r="B10" s="4" t="s">
        <v>378</v>
      </c>
      <c r="C10" t="str">
        <f>VLOOKUP($C$2,Scraper_XL!$A:$AX,MATCH("url",Scraper_XL!$A$2:$AX$2,0),FALSE)</f>
        <v>https://www.immobilienscout24.de/expose/118927284</v>
      </c>
      <c r="F10" s="4" t="s">
        <v>110</v>
      </c>
      <c r="G10" s="3">
        <f>12*($C$51-$C$42-$C$43)/$C$25</f>
        <v>0.18265411710551641</v>
      </c>
    </row>
    <row r="11" spans="2:9" ht="16.5" customHeight="1" x14ac:dyDescent="0.25">
      <c r="B11" s="4" t="s">
        <v>67</v>
      </c>
      <c r="C11" t="str">
        <f>VLOOKUP($C$2,Scraper_XL!$A:$AX,MATCH("city",Scraper_XL!$A$2:$AX$2,0),FALSE)</f>
        <v>Dortmund</v>
      </c>
    </row>
    <row r="12" spans="2:9" ht="16.5" customHeight="1" x14ac:dyDescent="0.25">
      <c r="B12" s="4" t="s">
        <v>64</v>
      </c>
      <c r="C12" t="str">
        <f>VLOOKUP($C$2,Scraper_XL!$A:$AX,MATCH("quarter",Scraper_XL!$A$2:$AX$2,0),FALSE)</f>
        <v>Nette</v>
      </c>
      <c r="F12" s="4" t="s">
        <v>140</v>
      </c>
      <c r="H12" t="s">
        <v>123</v>
      </c>
    </row>
    <row r="13" spans="2:9" ht="16.5" customHeight="1" x14ac:dyDescent="0.25">
      <c r="B13" s="4" t="s">
        <v>93</v>
      </c>
      <c r="C13">
        <f>VLOOKUP($C$2,Scraper_XL!$A:$AX,MATCH("year_of_construction",Scraper_XL!$A$2:$AX$2,0),FALSE)</f>
        <v>1975</v>
      </c>
      <c r="F13" s="4" t="s">
        <v>141</v>
      </c>
      <c r="G13" s="18">
        <f>C51-C42-C43</f>
        <v>306.86317866666667</v>
      </c>
      <c r="H13" s="13">
        <f>G13*12</f>
        <v>3682.3581439999998</v>
      </c>
    </row>
    <row r="14" spans="2:9" ht="16.5" customHeight="1" x14ac:dyDescent="0.25">
      <c r="F14" s="4" t="s">
        <v>119</v>
      </c>
      <c r="G14" s="18">
        <f>G13-C44</f>
        <v>102.43532503121418</v>
      </c>
      <c r="H14" s="13">
        <f>G14*12</f>
        <v>1229.2239003745701</v>
      </c>
    </row>
    <row r="15" spans="2:9" ht="16.5" customHeight="1" x14ac:dyDescent="0.25">
      <c r="C15" s="4" t="s">
        <v>77</v>
      </c>
      <c r="D15" s="4" t="s">
        <v>76</v>
      </c>
    </row>
    <row r="16" spans="2:9" ht="20.25" customHeight="1" x14ac:dyDescent="0.35">
      <c r="B16" s="6" t="s">
        <v>102</v>
      </c>
    </row>
    <row r="17" spans="2:7" x14ac:dyDescent="0.25">
      <c r="B17" s="4" t="s">
        <v>65</v>
      </c>
      <c r="C17" s="13">
        <f>VLOOKUP($C$2,Scraper_XL!$A:$AX,MATCH("value",Scraper_XL!$A$2:$AX$2,0),FALSE)</f>
        <v>89000</v>
      </c>
      <c r="D17" s="2"/>
    </row>
    <row r="18" spans="2:7" x14ac:dyDescent="0.25">
      <c r="B18" s="4" t="s">
        <v>70</v>
      </c>
      <c r="C18" s="13">
        <f>VLOOKUP($C$2,Scraper_XL!$A:$AX,MATCH("provision",Scraper_XL!$A$2:$AX$2,0),FALSE)</f>
        <v>4236.3999999999996</v>
      </c>
      <c r="D18" s="3">
        <f>VLOOKUP($C$2,Scraper_XL!$A:$AX,MATCH("provision_percent",Scraper_XL!$A$2:$AX$2,0),FALSE)/100</f>
        <v>4.7599999999999996E-2</v>
      </c>
    </row>
    <row r="19" spans="2:7" x14ac:dyDescent="0.25">
      <c r="B19" s="4" t="s">
        <v>71</v>
      </c>
      <c r="C19" s="10">
        <f>VLOOKUP($C$2,Scraper_XL!$A:$AX,MATCH("land_transfer",Scraper_XL!$A$2:$AX$2,0),FALSE)</f>
        <v>5785</v>
      </c>
      <c r="D19" s="3">
        <f>VLOOKUP($C$2,Scraper_XL!$A:$AX,MATCH("land_transfer_percent",Scraper_XL!$A$2:$AX$2,0),FALSE)/100</f>
        <v>6.5000000000000002E-2</v>
      </c>
      <c r="E19" s="13"/>
    </row>
    <row r="20" spans="2:7" x14ac:dyDescent="0.25">
      <c r="B20" s="4" t="s">
        <v>72</v>
      </c>
      <c r="C20" s="10">
        <f>VLOOKUP($C$2,Scraper_XL!$A:$AX,MATCH("notary",Scraper_XL!$A$2:$AX$2,0),FALSE)</f>
        <v>1335</v>
      </c>
      <c r="D20" s="3">
        <f>VLOOKUP($C$2,Scraper_XL!$A:$AX,MATCH("notary_percent",Scraper_XL!$A$2:$AX$2,0),FALSE)/100</f>
        <v>1.4999999999999999E-2</v>
      </c>
    </row>
    <row r="21" spans="2:7" ht="16.5" thickBot="1" x14ac:dyDescent="0.3">
      <c r="B21" s="34" t="s">
        <v>73</v>
      </c>
      <c r="C21" s="38">
        <f>VLOOKUP($C$2,Scraper_XL!$A:$AX,MATCH("entry_land",Scraper_XL!$A$2:$AX$2,0),FALSE)</f>
        <v>445</v>
      </c>
      <c r="D21" s="35">
        <f>VLOOKUP($C$2,Scraper_XL!$A:$AX,MATCH("entry_land_percent",Scraper_XL!$A$2:$AX$2,0),FALSE)/100</f>
        <v>5.0000000000000001E-3</v>
      </c>
    </row>
    <row r="22" spans="2:7" x14ac:dyDescent="0.25">
      <c r="B22" s="4" t="s">
        <v>78</v>
      </c>
      <c r="C22" s="13">
        <f>SUM(C17:C21)</f>
        <v>100801.4</v>
      </c>
      <c r="D22" s="3">
        <f>SUM(D17:D21)</f>
        <v>0.1326</v>
      </c>
    </row>
    <row r="23" spans="2:7" x14ac:dyDescent="0.25">
      <c r="B23" s="4"/>
      <c r="C23" s="11"/>
    </row>
    <row r="24" spans="2:7" ht="21" x14ac:dyDescent="0.35">
      <c r="B24" s="6" t="s">
        <v>79</v>
      </c>
    </row>
    <row r="25" spans="2:7" ht="18.75" x14ac:dyDescent="0.3">
      <c r="B25" s="4" t="s">
        <v>81</v>
      </c>
      <c r="C25" s="13">
        <f>$D$25*$C$22</f>
        <v>20160.28</v>
      </c>
      <c r="D25" s="36">
        <v>0.2</v>
      </c>
    </row>
    <row r="26" spans="2:7" ht="18.75" x14ac:dyDescent="0.3">
      <c r="B26" s="4" t="s">
        <v>80</v>
      </c>
      <c r="C26" s="13">
        <f>$D$26*$C$22</f>
        <v>80641.119999999995</v>
      </c>
      <c r="D26" s="36">
        <f>1-D25</f>
        <v>0.8</v>
      </c>
    </row>
    <row r="27" spans="2:7" ht="18.75" x14ac:dyDescent="0.3">
      <c r="B27" s="4" t="s">
        <v>82</v>
      </c>
      <c r="C27" s="13"/>
      <c r="D27" s="36">
        <v>8.8000000000000005E-3</v>
      </c>
      <c r="G27" s="4"/>
    </row>
    <row r="28" spans="2:7" ht="18.75" x14ac:dyDescent="0.3">
      <c r="B28" s="4" t="s">
        <v>83</v>
      </c>
      <c r="D28" s="37">
        <v>29</v>
      </c>
      <c r="E28" s="4"/>
      <c r="G28" s="4"/>
    </row>
    <row r="29" spans="2:7" x14ac:dyDescent="0.25">
      <c r="B29" s="4" t="s">
        <v>120</v>
      </c>
      <c r="D29" s="14">
        <f>Annuitaet!J1</f>
        <v>3.0420389047491281E-2</v>
      </c>
      <c r="E29" s="4"/>
      <c r="G29" s="4"/>
    </row>
    <row r="30" spans="2:7" x14ac:dyDescent="0.25">
      <c r="B30" s="4" t="s">
        <v>108</v>
      </c>
      <c r="C30" s="13">
        <f>Annuitaet!J8</f>
        <v>263.56467496878582</v>
      </c>
    </row>
    <row r="31" spans="2:7" x14ac:dyDescent="0.25">
      <c r="B31" s="4"/>
      <c r="C31" s="10"/>
    </row>
    <row r="32" spans="2:7" ht="21" x14ac:dyDescent="0.35">
      <c r="B32" s="6" t="s">
        <v>95</v>
      </c>
    </row>
    <row r="33" spans="2:6" x14ac:dyDescent="0.25">
      <c r="B33" s="4" t="s">
        <v>96</v>
      </c>
      <c r="D33" s="3">
        <v>0.02</v>
      </c>
    </row>
    <row r="34" spans="2:6" x14ac:dyDescent="0.25">
      <c r="B34" s="4" t="s">
        <v>98</v>
      </c>
      <c r="D34" s="3">
        <v>0.43</v>
      </c>
    </row>
    <row r="35" spans="2:6" x14ac:dyDescent="0.25">
      <c r="B35" s="4" t="s">
        <v>94</v>
      </c>
      <c r="C35" s="13">
        <v>3000</v>
      </c>
    </row>
    <row r="36" spans="2:6" x14ac:dyDescent="0.25">
      <c r="B36" s="4" t="s">
        <v>96</v>
      </c>
      <c r="C36" s="13">
        <f>((C22-C35)*D33)/12</f>
        <v>163.00233333333333</v>
      </c>
      <c r="D36" s="11"/>
    </row>
    <row r="37" spans="2:6" x14ac:dyDescent="0.25">
      <c r="B37" s="4"/>
      <c r="C37" s="11"/>
    </row>
    <row r="38" spans="2:6" ht="21" x14ac:dyDescent="0.35">
      <c r="B38" s="6" t="s">
        <v>100</v>
      </c>
      <c r="F38" s="13"/>
    </row>
    <row r="39" spans="2:6" x14ac:dyDescent="0.25">
      <c r="B39" s="4" t="s">
        <v>135</v>
      </c>
      <c r="C39" s="13">
        <f>$D$39*$C$4</f>
        <v>32.5</v>
      </c>
      <c r="D39" s="13">
        <f>6/12</f>
        <v>0.5</v>
      </c>
      <c r="F39" s="13"/>
    </row>
    <row r="40" spans="2:6" x14ac:dyDescent="0.25">
      <c r="B40" s="4"/>
      <c r="C40" s="11"/>
      <c r="D40" s="11"/>
      <c r="F40" s="13"/>
    </row>
    <row r="41" spans="2:6" ht="21" x14ac:dyDescent="0.35">
      <c r="B41" s="6" t="s">
        <v>101</v>
      </c>
      <c r="D41" s="11"/>
      <c r="E41" t="s">
        <v>116</v>
      </c>
      <c r="F41" s="13" t="s">
        <v>356</v>
      </c>
    </row>
    <row r="42" spans="2:6" x14ac:dyDescent="0.25">
      <c r="B42" s="4" t="s">
        <v>139</v>
      </c>
      <c r="C42" s="13">
        <f>IF(D42=0,F42*E42,D42*E42)</f>
        <v>54</v>
      </c>
      <c r="D42" s="11">
        <f>VLOOKUP($C$2,Scraper_XL!$A:$AX,MATCH("house_money",Scraper_XL!$A$2:$AX$2,0),FALSE)</f>
        <v>0</v>
      </c>
      <c r="E42" s="29">
        <v>0.3</v>
      </c>
      <c r="F42" s="10">
        <v>180</v>
      </c>
    </row>
    <row r="43" spans="2:6" x14ac:dyDescent="0.25">
      <c r="B43" s="4" t="s">
        <v>104</v>
      </c>
      <c r="C43" s="13">
        <f>Annuitaet!H8</f>
        <v>59.13682133333333</v>
      </c>
      <c r="D43" s="11"/>
      <c r="F43" s="13"/>
    </row>
    <row r="44" spans="2:6" ht="16.5" thickBot="1" x14ac:dyDescent="0.3">
      <c r="B44" s="15" t="s">
        <v>105</v>
      </c>
      <c r="C44" s="16">
        <f>Annuitaet!I8</f>
        <v>204.42785363545249</v>
      </c>
      <c r="D44" s="17"/>
      <c r="F44" s="13"/>
    </row>
    <row r="45" spans="2:6" ht="16.5" thickTop="1" x14ac:dyDescent="0.25">
      <c r="B45" s="4" t="s">
        <v>106</v>
      </c>
      <c r="C45" s="13">
        <f>SUM(C42:C44)</f>
        <v>317.56467496878582</v>
      </c>
      <c r="D45" s="11"/>
    </row>
    <row r="46" spans="2:6" x14ac:dyDescent="0.25">
      <c r="B46" s="4"/>
      <c r="C46" s="13"/>
      <c r="D46" s="11"/>
    </row>
    <row r="47" spans="2:6" ht="21" x14ac:dyDescent="0.35">
      <c r="B47" s="6" t="s">
        <v>121</v>
      </c>
      <c r="C47" s="13">
        <f>-(C45+C39)</f>
        <v>-350.06467496878582</v>
      </c>
      <c r="D47" s="11"/>
    </row>
    <row r="48" spans="2:6" x14ac:dyDescent="0.25">
      <c r="B48" s="4"/>
      <c r="C48" s="13"/>
      <c r="D48" s="11"/>
    </row>
    <row r="50" spans="2:9" ht="21" x14ac:dyDescent="0.35">
      <c r="B50" s="6" t="s">
        <v>66</v>
      </c>
      <c r="C50" t="s">
        <v>91</v>
      </c>
      <c r="D50" t="s">
        <v>88</v>
      </c>
      <c r="E50" t="s">
        <v>92</v>
      </c>
    </row>
    <row r="51" spans="2:9" x14ac:dyDescent="0.25">
      <c r="B51" s="4" t="s">
        <v>90</v>
      </c>
      <c r="C51" s="13">
        <f>IF($E$51=0,$C$53,$E$51)</f>
        <v>420</v>
      </c>
      <c r="D51" s="13">
        <f>$E$51/C4</f>
        <v>6.4615384615384617</v>
      </c>
      <c r="E51">
        <f>VLOOKUP($C$2,Scraper_XL!$A:$AX,MATCH("rent",Scraper_XL!$A$2:$AX$2,0),FALSE)</f>
        <v>420</v>
      </c>
    </row>
    <row r="52" spans="2:9" x14ac:dyDescent="0.25">
      <c r="B52" s="4" t="s">
        <v>87</v>
      </c>
      <c r="C52" s="13">
        <f>D52*C4</f>
        <v>403</v>
      </c>
      <c r="D52" s="13">
        <f>VLOOKUP(C11&amp;"-"&amp;C12,'MD - Miete pro m2'!$C:$D,2,FALSE)</f>
        <v>6.2</v>
      </c>
      <c r="E52" s="10"/>
      <c r="G52" s="10"/>
      <c r="H52" s="10"/>
      <c r="I52" s="9"/>
    </row>
    <row r="53" spans="2:9" x14ac:dyDescent="0.25">
      <c r="B53" s="4" t="s">
        <v>357</v>
      </c>
      <c r="C53" s="13">
        <f>VLOOKUP($C$2,Scraper_XL!$A:$AX,MATCH("prediction",Scraper_XL!$A$2:$AX$2,0),FALSE)</f>
        <v>489.302642822265</v>
      </c>
      <c r="D53" s="13"/>
      <c r="E53" s="10"/>
      <c r="G53" s="10"/>
      <c r="H53" s="10"/>
      <c r="I53" s="9"/>
    </row>
    <row r="54" spans="2:9" x14ac:dyDescent="0.25">
      <c r="B54" s="4" t="s">
        <v>122</v>
      </c>
      <c r="C54" s="13">
        <f>C51*12</f>
        <v>5040</v>
      </c>
      <c r="D54" s="10"/>
      <c r="E54" s="10"/>
      <c r="G54" s="10"/>
      <c r="H54" s="10"/>
      <c r="I54" s="9"/>
    </row>
    <row r="55" spans="2:9" x14ac:dyDescent="0.25">
      <c r="B55" s="4" t="s">
        <v>137</v>
      </c>
      <c r="C55" s="13">
        <f>C26*0.1</f>
        <v>8064.1120000000001</v>
      </c>
      <c r="G55" s="10"/>
      <c r="H55" s="10"/>
      <c r="I55" s="9"/>
    </row>
    <row r="56" spans="2:9" x14ac:dyDescent="0.25">
      <c r="B56" s="4" t="s">
        <v>138</v>
      </c>
      <c r="C56" s="13">
        <f>C55+C44*12</f>
        <v>10517.24624362543</v>
      </c>
      <c r="D56" s="14">
        <f>C56/$C$26</f>
        <v>0.13042038904749129</v>
      </c>
      <c r="E56" s="12">
        <f>1/D56</f>
        <v>7.6675127815778863</v>
      </c>
      <c r="F56" s="13"/>
      <c r="G56" s="10"/>
      <c r="H56" s="10"/>
      <c r="I56" s="9"/>
    </row>
    <row r="57" spans="2:9" x14ac:dyDescent="0.25">
      <c r="B57" s="4"/>
      <c r="C57" s="13"/>
      <c r="D57" s="14"/>
      <c r="E57" s="12"/>
      <c r="F57" s="13"/>
      <c r="G57" s="10"/>
      <c r="H57" s="10"/>
      <c r="I57" s="9"/>
    </row>
    <row r="58" spans="2:9" x14ac:dyDescent="0.25">
      <c r="F58" s="13"/>
      <c r="G58" s="10"/>
      <c r="H58" s="8"/>
    </row>
    <row r="59" spans="2:9" x14ac:dyDescent="0.25">
      <c r="F59" s="13"/>
      <c r="G59" s="10"/>
      <c r="H59" s="8"/>
    </row>
    <row r="60" spans="2:9" x14ac:dyDescent="0.25">
      <c r="F60" s="13"/>
    </row>
    <row r="61" spans="2:9" x14ac:dyDescent="0.25">
      <c r="F61" s="13"/>
    </row>
    <row r="62" spans="2:9" x14ac:dyDescent="0.25">
      <c r="F62" s="13"/>
    </row>
  </sheetData>
  <conditionalFormatting sqref="F6:G6">
    <cfRule type="cellIs" dxfId="64" priority="6" operator="lessThan">
      <formula>0</formula>
    </cfRule>
  </conditionalFormatting>
  <conditionalFormatting sqref="G6">
    <cfRule type="cellIs" dxfId="63" priority="5" operator="greaterThan">
      <formula>0</formula>
    </cfRule>
  </conditionalFormatting>
  <conditionalFormatting sqref="G13:G14">
    <cfRule type="cellIs" dxfId="62" priority="2" operator="lessThan">
      <formula>0</formula>
    </cfRule>
  </conditionalFormatting>
  <conditionalFormatting sqref="G13:G14">
    <cfRule type="cellIs" dxfId="61" priority="1" operator="greaterThan">
      <formula>0</formula>
    </cfRule>
  </conditionalFormatting>
  <pageMargins left="0.7" right="0.7" top="0.78740157499999996" bottom="0.78740157499999996" header="0.3" footer="0.3"/>
  <pageSetup paperSize="9" orientation="portrait" r:id="rId1"/>
  <customProperties>
    <customPr name="_pios_id" r:id="rId2"/>
  </customPropertie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82B696-9F69-433F-8A69-55293CD41F18}">
  <sheetPr codeName="Scraper_XL"/>
  <dimension ref="A1:AO69"/>
  <sheetViews>
    <sheetView workbookViewId="0">
      <selection activeCell="M9" sqref="M9"/>
    </sheetView>
  </sheetViews>
  <sheetFormatPr baseColWidth="10" defaultRowHeight="15.75" x14ac:dyDescent="0.25"/>
  <cols>
    <col min="38" max="38" width="32.625" style="18" bestFit="1" customWidth="1"/>
    <col min="39" max="39" width="13.75" style="14" bestFit="1" customWidth="1"/>
    <col min="40" max="40" width="13.125" style="14" bestFit="1" customWidth="1"/>
    <col min="41" max="41" width="18.75" style="14" bestFit="1" customWidth="1"/>
  </cols>
  <sheetData>
    <row r="1" spans="1:41" x14ac:dyDescent="0.25">
      <c r="AL1" s="14"/>
    </row>
    <row r="2" spans="1:41" x14ac:dyDescent="0.25">
      <c r="A2" s="33"/>
      <c r="B2" s="33" t="s">
        <v>142</v>
      </c>
      <c r="C2" s="33" t="s">
        <v>143</v>
      </c>
      <c r="D2" s="33" t="s">
        <v>144</v>
      </c>
      <c r="E2" s="33" t="s">
        <v>145</v>
      </c>
      <c r="F2" s="33" t="s">
        <v>146</v>
      </c>
      <c r="G2" s="33" t="s">
        <v>147</v>
      </c>
      <c r="H2" s="33" t="s">
        <v>148</v>
      </c>
      <c r="I2" s="33" t="s">
        <v>149</v>
      </c>
      <c r="J2" s="33" t="s">
        <v>150</v>
      </c>
      <c r="K2" s="33" t="s">
        <v>151</v>
      </c>
      <c r="L2" s="33" t="s">
        <v>152</v>
      </c>
      <c r="M2" s="33" t="s">
        <v>153</v>
      </c>
      <c r="N2" s="33" t="s">
        <v>154</v>
      </c>
      <c r="O2" s="33" t="s">
        <v>155</v>
      </c>
      <c r="P2" s="33" t="s">
        <v>156</v>
      </c>
      <c r="Q2" s="33" t="s">
        <v>157</v>
      </c>
      <c r="R2" s="33" t="s">
        <v>158</v>
      </c>
      <c r="S2" s="33" t="s">
        <v>159</v>
      </c>
      <c r="T2" s="33" t="s">
        <v>160</v>
      </c>
      <c r="U2" s="33" t="s">
        <v>161</v>
      </c>
      <c r="V2" s="33" t="s">
        <v>162</v>
      </c>
      <c r="W2" s="33" t="s">
        <v>163</v>
      </c>
      <c r="X2" s="33" t="s">
        <v>164</v>
      </c>
      <c r="Y2" s="33" t="s">
        <v>165</v>
      </c>
      <c r="Z2" s="33" t="s">
        <v>166</v>
      </c>
      <c r="AA2" s="33" t="s">
        <v>167</v>
      </c>
      <c r="AB2" s="33" t="s">
        <v>168</v>
      </c>
      <c r="AC2" s="33" t="s">
        <v>169</v>
      </c>
      <c r="AD2" s="33" t="s">
        <v>170</v>
      </c>
      <c r="AE2" s="33" t="s">
        <v>171</v>
      </c>
      <c r="AF2" s="33" t="s">
        <v>172</v>
      </c>
      <c r="AG2" s="33" t="s">
        <v>173</v>
      </c>
      <c r="AH2" s="33" t="s">
        <v>174</v>
      </c>
      <c r="AI2" s="33" t="s">
        <v>175</v>
      </c>
      <c r="AJ2" s="33" t="s">
        <v>176</v>
      </c>
      <c r="AK2" s="33" t="s">
        <v>177</v>
      </c>
      <c r="AL2" s="20" t="s">
        <v>113</v>
      </c>
      <c r="AM2" s="20" t="s">
        <v>109</v>
      </c>
      <c r="AN2" s="20" t="s">
        <v>112</v>
      </c>
      <c r="AO2" s="20" t="s">
        <v>110</v>
      </c>
    </row>
    <row r="3" spans="1:41" x14ac:dyDescent="0.25">
      <c r="A3">
        <v>1</v>
      </c>
      <c r="B3">
        <v>118357961</v>
      </c>
      <c r="C3">
        <v>2020</v>
      </c>
      <c r="D3">
        <v>5</v>
      </c>
      <c r="E3">
        <v>31</v>
      </c>
      <c r="F3" t="s">
        <v>344</v>
      </c>
      <c r="G3" t="s">
        <v>345</v>
      </c>
      <c r="H3" t="s">
        <v>68</v>
      </c>
      <c r="I3">
        <v>44339</v>
      </c>
      <c r="J3" t="s">
        <v>13</v>
      </c>
      <c r="L3">
        <v>0</v>
      </c>
      <c r="M3">
        <v>0</v>
      </c>
      <c r="N3" t="s">
        <v>346</v>
      </c>
      <c r="O3" t="s">
        <v>181</v>
      </c>
      <c r="P3" t="s">
        <v>182</v>
      </c>
      <c r="R3" t="s">
        <v>182</v>
      </c>
      <c r="S3" t="s">
        <v>182</v>
      </c>
      <c r="T3" t="s">
        <v>182</v>
      </c>
      <c r="U3" t="s">
        <v>182</v>
      </c>
      <c r="V3">
        <v>64</v>
      </c>
      <c r="W3">
        <v>2</v>
      </c>
      <c r="X3">
        <v>0</v>
      </c>
      <c r="Y3">
        <v>89000</v>
      </c>
      <c r="Z3">
        <v>150</v>
      </c>
      <c r="AA3">
        <v>1980</v>
      </c>
      <c r="AB3">
        <v>3177.3</v>
      </c>
      <c r="AC3">
        <v>3.57</v>
      </c>
      <c r="AD3">
        <v>5785</v>
      </c>
      <c r="AE3">
        <v>6.5</v>
      </c>
      <c r="AF3">
        <v>1335</v>
      </c>
      <c r="AG3">
        <v>1.5</v>
      </c>
      <c r="AH3">
        <v>445</v>
      </c>
      <c r="AI3">
        <v>0.5</v>
      </c>
      <c r="AJ3">
        <v>0</v>
      </c>
      <c r="AK3">
        <v>456.11666870117102</v>
      </c>
      <c r="AL3" s="18">
        <v>14.659686340228149</v>
      </c>
      <c r="AM3" s="14">
        <v>5.4875414186499133E-2</v>
      </c>
      <c r="AN3" s="14">
        <v>3.7909835971438918E-2</v>
      </c>
      <c r="AO3" s="14">
        <v>0.18954917985719458</v>
      </c>
    </row>
    <row r="4" spans="1:41" x14ac:dyDescent="0.25">
      <c r="A4">
        <v>2</v>
      </c>
      <c r="B4">
        <v>117810775</v>
      </c>
      <c r="C4">
        <v>2020</v>
      </c>
      <c r="D4">
        <v>5</v>
      </c>
      <c r="E4">
        <v>31</v>
      </c>
      <c r="F4" t="s">
        <v>315</v>
      </c>
      <c r="G4" t="s">
        <v>316</v>
      </c>
      <c r="H4" t="s">
        <v>68</v>
      </c>
      <c r="I4">
        <v>44329</v>
      </c>
      <c r="J4" t="s">
        <v>35</v>
      </c>
      <c r="K4" t="s">
        <v>317</v>
      </c>
      <c r="L4">
        <v>51.577809999999999</v>
      </c>
      <c r="M4">
        <v>7.5617099999999997</v>
      </c>
      <c r="N4" t="s">
        <v>318</v>
      </c>
      <c r="O4" t="s">
        <v>181</v>
      </c>
      <c r="P4" t="s">
        <v>182</v>
      </c>
      <c r="R4" t="s">
        <v>182</v>
      </c>
      <c r="S4" t="s">
        <v>181</v>
      </c>
      <c r="T4" t="s">
        <v>182</v>
      </c>
      <c r="U4" t="s">
        <v>182</v>
      </c>
      <c r="V4">
        <v>72</v>
      </c>
      <c r="W4">
        <v>3</v>
      </c>
      <c r="X4">
        <v>0</v>
      </c>
      <c r="Y4">
        <v>149000</v>
      </c>
      <c r="Z4">
        <v>0</v>
      </c>
      <c r="AA4">
        <v>1964</v>
      </c>
      <c r="AB4">
        <v>7092.4</v>
      </c>
      <c r="AC4">
        <v>4.76</v>
      </c>
      <c r="AD4">
        <v>9685</v>
      </c>
      <c r="AE4">
        <v>6.5</v>
      </c>
      <c r="AF4">
        <v>2235</v>
      </c>
      <c r="AG4">
        <v>1.5</v>
      </c>
      <c r="AH4">
        <v>745</v>
      </c>
      <c r="AI4">
        <v>0.5</v>
      </c>
      <c r="AJ4">
        <v>0</v>
      </c>
      <c r="AK4">
        <v>549.36767578125</v>
      </c>
      <c r="AL4" s="18">
        <v>-49.769480207561173</v>
      </c>
      <c r="AM4" s="14">
        <v>3.9064432785614146E-2</v>
      </c>
      <c r="AN4" s="14">
        <v>2.6158023371863987E-2</v>
      </c>
      <c r="AO4" s="14">
        <v>0.13079011685931993</v>
      </c>
    </row>
    <row r="5" spans="1:41" x14ac:dyDescent="0.25">
      <c r="A5">
        <v>3</v>
      </c>
      <c r="B5">
        <v>117052263</v>
      </c>
      <c r="C5">
        <v>2020</v>
      </c>
      <c r="D5">
        <v>5</v>
      </c>
      <c r="E5">
        <v>31</v>
      </c>
      <c r="F5" t="s">
        <v>298</v>
      </c>
      <c r="G5" t="s">
        <v>299</v>
      </c>
      <c r="H5" t="s">
        <v>68</v>
      </c>
      <c r="I5">
        <v>44265</v>
      </c>
      <c r="J5" t="s">
        <v>47</v>
      </c>
      <c r="K5" t="s">
        <v>300</v>
      </c>
      <c r="L5">
        <v>51.462229999999998</v>
      </c>
      <c r="M5">
        <v>7.5004099999999996</v>
      </c>
      <c r="N5" t="s">
        <v>301</v>
      </c>
      <c r="O5" t="s">
        <v>181</v>
      </c>
      <c r="P5" t="s">
        <v>182</v>
      </c>
      <c r="R5" t="s">
        <v>182</v>
      </c>
      <c r="S5" t="s">
        <v>182</v>
      </c>
      <c r="T5" t="s">
        <v>182</v>
      </c>
      <c r="U5" t="s">
        <v>182</v>
      </c>
      <c r="V5">
        <v>59.67</v>
      </c>
      <c r="W5">
        <v>3</v>
      </c>
      <c r="X5">
        <v>0</v>
      </c>
      <c r="Y5">
        <v>79900</v>
      </c>
      <c r="Z5">
        <v>221</v>
      </c>
      <c r="AA5">
        <v>1963</v>
      </c>
      <c r="AB5">
        <v>3803.24</v>
      </c>
      <c r="AC5">
        <v>4.76</v>
      </c>
      <c r="AD5">
        <v>5193.5</v>
      </c>
      <c r="AE5">
        <v>6.5</v>
      </c>
      <c r="AF5">
        <v>1198.5</v>
      </c>
      <c r="AG5">
        <v>1.5</v>
      </c>
      <c r="AH5">
        <v>399.5</v>
      </c>
      <c r="AI5">
        <v>0.5</v>
      </c>
      <c r="AJ5">
        <v>0</v>
      </c>
      <c r="AK5">
        <v>410.52468872070301</v>
      </c>
      <c r="AL5" s="18">
        <v>-16.201984655304074</v>
      </c>
      <c r="AM5" s="14">
        <v>5.4437376853598736E-2</v>
      </c>
      <c r="AN5" s="14">
        <v>3.127931297496888E-2</v>
      </c>
      <c r="AO5" s="14">
        <v>0.15639656487484441</v>
      </c>
    </row>
    <row r="6" spans="1:41" x14ac:dyDescent="0.25">
      <c r="A6">
        <v>4</v>
      </c>
      <c r="B6">
        <v>118599037</v>
      </c>
      <c r="C6">
        <v>2020</v>
      </c>
      <c r="D6">
        <v>5</v>
      </c>
      <c r="E6">
        <v>31</v>
      </c>
      <c r="F6" t="s">
        <v>350</v>
      </c>
      <c r="G6" t="s">
        <v>351</v>
      </c>
      <c r="H6" t="s">
        <v>68</v>
      </c>
      <c r="I6">
        <v>44388</v>
      </c>
      <c r="J6" t="s">
        <v>41</v>
      </c>
      <c r="L6">
        <v>0</v>
      </c>
      <c r="M6">
        <v>0</v>
      </c>
      <c r="N6" t="s">
        <v>352</v>
      </c>
      <c r="O6" t="s">
        <v>181</v>
      </c>
      <c r="P6" t="s">
        <v>182</v>
      </c>
      <c r="Q6" t="s">
        <v>194</v>
      </c>
      <c r="R6" t="s">
        <v>181</v>
      </c>
      <c r="S6" t="s">
        <v>182</v>
      </c>
      <c r="T6" t="s">
        <v>182</v>
      </c>
      <c r="U6" t="s">
        <v>182</v>
      </c>
      <c r="V6">
        <v>80.349999999999994</v>
      </c>
      <c r="W6">
        <v>3.5</v>
      </c>
      <c r="X6">
        <v>0</v>
      </c>
      <c r="Y6">
        <v>119000</v>
      </c>
      <c r="Z6">
        <v>0</v>
      </c>
      <c r="AA6">
        <v>1970</v>
      </c>
      <c r="AB6">
        <v>5664.4</v>
      </c>
      <c r="AC6">
        <v>4.76</v>
      </c>
      <c r="AD6">
        <v>7735</v>
      </c>
      <c r="AE6">
        <v>6.5</v>
      </c>
      <c r="AF6">
        <v>1785</v>
      </c>
      <c r="AG6">
        <v>1.5</v>
      </c>
      <c r="AH6">
        <v>595</v>
      </c>
      <c r="AI6">
        <v>0.5</v>
      </c>
      <c r="AJ6">
        <v>0</v>
      </c>
      <c r="AK6">
        <v>656.76446533203102</v>
      </c>
      <c r="AL6" s="18">
        <v>63.191298306761198</v>
      </c>
      <c r="AM6" s="14">
        <v>5.8474615438148358E-2</v>
      </c>
      <c r="AN6" s="14">
        <v>4.4089279281435981E-2</v>
      </c>
      <c r="AO6" s="14">
        <v>0.22044639640717989</v>
      </c>
    </row>
    <row r="7" spans="1:41" x14ac:dyDescent="0.25">
      <c r="A7">
        <v>5</v>
      </c>
      <c r="B7">
        <v>116644933</v>
      </c>
      <c r="C7">
        <v>2020</v>
      </c>
      <c r="D7">
        <v>5</v>
      </c>
      <c r="E7">
        <v>31</v>
      </c>
      <c r="F7" t="s">
        <v>275</v>
      </c>
      <c r="G7" t="s">
        <v>276</v>
      </c>
      <c r="H7" t="s">
        <v>68</v>
      </c>
      <c r="I7">
        <v>44309</v>
      </c>
      <c r="J7" t="s">
        <v>46</v>
      </c>
      <c r="L7">
        <v>0</v>
      </c>
      <c r="M7">
        <v>0</v>
      </c>
      <c r="N7" t="s">
        <v>203</v>
      </c>
      <c r="O7" t="s">
        <v>181</v>
      </c>
      <c r="P7" t="s">
        <v>182</v>
      </c>
      <c r="Q7" t="s">
        <v>277</v>
      </c>
      <c r="R7" t="s">
        <v>181</v>
      </c>
      <c r="S7" t="s">
        <v>182</v>
      </c>
      <c r="T7" t="s">
        <v>182</v>
      </c>
      <c r="U7" t="s">
        <v>182</v>
      </c>
      <c r="V7">
        <v>47</v>
      </c>
      <c r="W7">
        <v>2</v>
      </c>
      <c r="X7">
        <v>0</v>
      </c>
      <c r="Y7">
        <v>79000</v>
      </c>
      <c r="Z7">
        <v>0</v>
      </c>
      <c r="AA7">
        <v>1973</v>
      </c>
      <c r="AB7">
        <v>2820.3</v>
      </c>
      <c r="AC7">
        <v>3.57</v>
      </c>
      <c r="AD7">
        <v>5135</v>
      </c>
      <c r="AE7">
        <v>6.5</v>
      </c>
      <c r="AF7">
        <v>1185</v>
      </c>
      <c r="AG7">
        <v>1.5</v>
      </c>
      <c r="AH7">
        <v>395</v>
      </c>
      <c r="AI7">
        <v>0.5</v>
      </c>
      <c r="AJ7">
        <v>0</v>
      </c>
      <c r="AK7">
        <v>380.78890991210898</v>
      </c>
      <c r="AL7" s="18">
        <v>-1.3331120325215622</v>
      </c>
      <c r="AM7" s="14">
        <v>5.1611808159517256E-2</v>
      </c>
      <c r="AN7" s="14">
        <v>3.3389827638753221E-2</v>
      </c>
      <c r="AO7" s="14">
        <v>0.16694913819376608</v>
      </c>
    </row>
    <row r="8" spans="1:41" x14ac:dyDescent="0.25">
      <c r="A8">
        <v>6</v>
      </c>
      <c r="B8">
        <v>117034765</v>
      </c>
      <c r="C8">
        <v>2020</v>
      </c>
      <c r="D8">
        <v>5</v>
      </c>
      <c r="E8">
        <v>31</v>
      </c>
      <c r="F8" t="s">
        <v>290</v>
      </c>
      <c r="G8" t="s">
        <v>291</v>
      </c>
      <c r="H8" t="s">
        <v>68</v>
      </c>
      <c r="I8">
        <v>44388</v>
      </c>
      <c r="J8" t="s">
        <v>20</v>
      </c>
      <c r="L8">
        <v>0</v>
      </c>
      <c r="M8">
        <v>0</v>
      </c>
      <c r="N8" t="s">
        <v>292</v>
      </c>
      <c r="O8" t="s">
        <v>182</v>
      </c>
      <c r="P8" t="s">
        <v>182</v>
      </c>
      <c r="R8" t="s">
        <v>181</v>
      </c>
      <c r="S8" t="s">
        <v>181</v>
      </c>
      <c r="T8" t="s">
        <v>182</v>
      </c>
      <c r="U8" t="s">
        <v>182</v>
      </c>
      <c r="V8">
        <v>145</v>
      </c>
      <c r="W8">
        <v>5.5</v>
      </c>
      <c r="X8">
        <v>0</v>
      </c>
      <c r="Y8">
        <v>137800</v>
      </c>
      <c r="Z8">
        <v>600</v>
      </c>
      <c r="AA8">
        <v>1910</v>
      </c>
      <c r="AB8">
        <v>6559.28</v>
      </c>
      <c r="AC8">
        <v>4.76</v>
      </c>
      <c r="AD8">
        <v>8957</v>
      </c>
      <c r="AE8">
        <v>6.5</v>
      </c>
      <c r="AF8">
        <v>2067</v>
      </c>
      <c r="AG8">
        <v>1.5</v>
      </c>
      <c r="AH8">
        <v>689</v>
      </c>
      <c r="AI8">
        <v>0.5</v>
      </c>
      <c r="AJ8">
        <v>360</v>
      </c>
      <c r="AK8">
        <v>1236.666015625</v>
      </c>
      <c r="AL8" s="18">
        <v>-314.40740157393282</v>
      </c>
      <c r="AM8" s="14">
        <v>2.7679482865246796E-2</v>
      </c>
      <c r="AN8" s="14">
        <v>-4.7333764278961023E-3</v>
      </c>
      <c r="AO8" s="14">
        <v>-2.3666882139480507E-2</v>
      </c>
    </row>
    <row r="9" spans="1:41" ht="94.5" x14ac:dyDescent="0.25">
      <c r="A9">
        <v>7</v>
      </c>
      <c r="B9">
        <v>113072507</v>
      </c>
      <c r="C9">
        <v>2020</v>
      </c>
      <c r="D9">
        <v>5</v>
      </c>
      <c r="E9">
        <v>31</v>
      </c>
      <c r="F9" s="32" t="s">
        <v>195</v>
      </c>
      <c r="G9" t="s">
        <v>196</v>
      </c>
      <c r="H9" t="s">
        <v>68</v>
      </c>
      <c r="I9">
        <v>44357</v>
      </c>
      <c r="J9" t="s">
        <v>49</v>
      </c>
      <c r="L9">
        <v>0</v>
      </c>
      <c r="M9">
        <v>0</v>
      </c>
      <c r="N9" t="s">
        <v>197</v>
      </c>
      <c r="O9" t="s">
        <v>181</v>
      </c>
      <c r="P9" t="s">
        <v>182</v>
      </c>
      <c r="R9" t="s">
        <v>182</v>
      </c>
      <c r="S9" t="s">
        <v>182</v>
      </c>
      <c r="T9" t="s">
        <v>182</v>
      </c>
      <c r="U9" t="s">
        <v>182</v>
      </c>
      <c r="V9">
        <v>76.239999999999995</v>
      </c>
      <c r="W9">
        <v>3</v>
      </c>
      <c r="X9">
        <v>0</v>
      </c>
      <c r="Y9">
        <v>90000</v>
      </c>
      <c r="Z9">
        <v>297</v>
      </c>
      <c r="AA9">
        <v>1973</v>
      </c>
      <c r="AB9">
        <v>0</v>
      </c>
      <c r="AC9">
        <v>0</v>
      </c>
      <c r="AD9">
        <v>5850</v>
      </c>
      <c r="AE9">
        <v>6.5</v>
      </c>
      <c r="AF9">
        <v>1350</v>
      </c>
      <c r="AG9">
        <v>1.5</v>
      </c>
      <c r="AH9">
        <v>450</v>
      </c>
      <c r="AI9">
        <v>0.5</v>
      </c>
      <c r="AJ9">
        <v>401.5</v>
      </c>
      <c r="AK9">
        <v>574.52478027343705</v>
      </c>
      <c r="AL9" s="18">
        <v>-65.232892699168303</v>
      </c>
      <c r="AM9" s="14">
        <v>4.9339477726574502E-2</v>
      </c>
      <c r="AN9" s="14">
        <v>2.2225745007680486E-2</v>
      </c>
      <c r="AO9" s="14">
        <v>0.11112872503840243</v>
      </c>
    </row>
    <row r="10" spans="1:41" x14ac:dyDescent="0.25">
      <c r="A10">
        <v>8</v>
      </c>
      <c r="B10">
        <v>114680814</v>
      </c>
      <c r="C10">
        <v>2020</v>
      </c>
      <c r="D10">
        <v>5</v>
      </c>
      <c r="E10">
        <v>31</v>
      </c>
      <c r="F10" t="s">
        <v>204</v>
      </c>
      <c r="G10" t="s">
        <v>205</v>
      </c>
      <c r="H10" t="s">
        <v>68</v>
      </c>
      <c r="I10">
        <v>44369</v>
      </c>
      <c r="J10" t="s">
        <v>51</v>
      </c>
      <c r="L10">
        <v>0</v>
      </c>
      <c r="M10">
        <v>0</v>
      </c>
      <c r="N10" t="s">
        <v>206</v>
      </c>
      <c r="O10" t="s">
        <v>182</v>
      </c>
      <c r="P10" t="s">
        <v>182</v>
      </c>
      <c r="R10" t="s">
        <v>181</v>
      </c>
      <c r="S10" t="s">
        <v>182</v>
      </c>
      <c r="T10" t="s">
        <v>182</v>
      </c>
      <c r="U10" t="s">
        <v>181</v>
      </c>
      <c r="V10">
        <v>67</v>
      </c>
      <c r="W10">
        <v>2</v>
      </c>
      <c r="X10">
        <v>0</v>
      </c>
      <c r="Y10">
        <v>54000</v>
      </c>
      <c r="Z10">
        <v>216</v>
      </c>
      <c r="AA10">
        <v>1973</v>
      </c>
      <c r="AB10">
        <v>0</v>
      </c>
      <c r="AC10">
        <v>0</v>
      </c>
      <c r="AD10">
        <v>0</v>
      </c>
      <c r="AE10">
        <v>0</v>
      </c>
      <c r="AF10">
        <v>0</v>
      </c>
      <c r="AG10">
        <v>0</v>
      </c>
      <c r="AH10">
        <v>0</v>
      </c>
      <c r="AI10">
        <v>0</v>
      </c>
      <c r="AJ10">
        <v>0</v>
      </c>
      <c r="AK10">
        <v>445.35403442382801</v>
      </c>
      <c r="AL10" s="18">
        <v>61.614799050613357</v>
      </c>
      <c r="AM10" s="14">
        <v>9.8967563205295109E-2</v>
      </c>
      <c r="AN10" s="14">
        <v>6.5527563205295111E-2</v>
      </c>
      <c r="AO10" s="14">
        <v>0.32763781602647557</v>
      </c>
    </row>
    <row r="11" spans="1:41" x14ac:dyDescent="0.25">
      <c r="A11">
        <v>9</v>
      </c>
      <c r="B11">
        <v>117044162</v>
      </c>
      <c r="C11">
        <v>2020</v>
      </c>
      <c r="D11">
        <v>5</v>
      </c>
      <c r="E11">
        <v>31</v>
      </c>
      <c r="F11" t="s">
        <v>296</v>
      </c>
      <c r="G11" t="s">
        <v>297</v>
      </c>
      <c r="H11" t="s">
        <v>68</v>
      </c>
      <c r="I11">
        <v>44388</v>
      </c>
      <c r="J11" t="s">
        <v>20</v>
      </c>
      <c r="L11">
        <v>0</v>
      </c>
      <c r="M11">
        <v>0</v>
      </c>
      <c r="N11" t="s">
        <v>292</v>
      </c>
      <c r="O11" t="s">
        <v>182</v>
      </c>
      <c r="P11" t="s">
        <v>182</v>
      </c>
      <c r="R11" t="s">
        <v>181</v>
      </c>
      <c r="S11" t="s">
        <v>181</v>
      </c>
      <c r="T11" t="s">
        <v>182</v>
      </c>
      <c r="U11" t="s">
        <v>182</v>
      </c>
      <c r="V11">
        <v>72.5</v>
      </c>
      <c r="W11">
        <v>2.5</v>
      </c>
      <c r="X11">
        <v>0</v>
      </c>
      <c r="Y11">
        <v>64800</v>
      </c>
      <c r="Z11">
        <v>290</v>
      </c>
      <c r="AA11">
        <v>1910</v>
      </c>
      <c r="AB11">
        <v>3084.48</v>
      </c>
      <c r="AC11">
        <v>4.76</v>
      </c>
      <c r="AD11">
        <v>4212</v>
      </c>
      <c r="AE11">
        <v>6.5</v>
      </c>
      <c r="AF11">
        <v>972</v>
      </c>
      <c r="AG11">
        <v>1.5</v>
      </c>
      <c r="AH11">
        <v>324</v>
      </c>
      <c r="AI11">
        <v>0.5</v>
      </c>
      <c r="AJ11">
        <v>0</v>
      </c>
      <c r="AK11">
        <v>505.41909790039</v>
      </c>
      <c r="AL11" s="18">
        <v>37.98753150720745</v>
      </c>
      <c r="AM11" s="14">
        <v>8.263829175420534E-2</v>
      </c>
      <c r="AN11" s="14">
        <v>4.9519325625795446E-2</v>
      </c>
      <c r="AO11" s="14">
        <v>0.24759662812897723</v>
      </c>
    </row>
    <row r="12" spans="1:41" x14ac:dyDescent="0.25">
      <c r="A12">
        <v>10</v>
      </c>
      <c r="B12">
        <v>118906395</v>
      </c>
      <c r="C12">
        <v>2020</v>
      </c>
      <c r="D12">
        <v>5</v>
      </c>
      <c r="E12">
        <v>31</v>
      </c>
      <c r="F12" t="s">
        <v>369</v>
      </c>
      <c r="G12" t="s">
        <v>370</v>
      </c>
      <c r="H12" t="s">
        <v>68</v>
      </c>
      <c r="I12">
        <v>44139</v>
      </c>
      <c r="J12" t="s">
        <v>26</v>
      </c>
      <c r="L12">
        <v>0</v>
      </c>
      <c r="M12">
        <v>0</v>
      </c>
      <c r="N12" t="s">
        <v>352</v>
      </c>
      <c r="O12" t="s">
        <v>181</v>
      </c>
      <c r="P12" t="s">
        <v>182</v>
      </c>
      <c r="Q12" t="s">
        <v>277</v>
      </c>
      <c r="R12" t="s">
        <v>181</v>
      </c>
      <c r="S12" t="s">
        <v>182</v>
      </c>
      <c r="T12" t="s">
        <v>182</v>
      </c>
      <c r="U12" t="s">
        <v>182</v>
      </c>
      <c r="V12">
        <v>62</v>
      </c>
      <c r="W12">
        <v>3</v>
      </c>
      <c r="X12">
        <v>0</v>
      </c>
      <c r="Y12">
        <v>129000</v>
      </c>
      <c r="Z12">
        <v>0</v>
      </c>
      <c r="AA12">
        <v>1954</v>
      </c>
      <c r="AB12">
        <v>6140.4</v>
      </c>
      <c r="AC12">
        <v>4.76</v>
      </c>
      <c r="AD12">
        <v>8385</v>
      </c>
      <c r="AE12">
        <v>6.5</v>
      </c>
      <c r="AF12">
        <v>1935</v>
      </c>
      <c r="AG12">
        <v>1.5</v>
      </c>
      <c r="AH12">
        <v>645</v>
      </c>
      <c r="AI12">
        <v>0.5</v>
      </c>
      <c r="AJ12">
        <v>0</v>
      </c>
      <c r="AK12">
        <v>430.08425903320301</v>
      </c>
      <c r="AL12" s="18">
        <v>-75.481288773696491</v>
      </c>
      <c r="AM12" s="14">
        <v>3.5323890208017197E-2</v>
      </c>
      <c r="AN12" s="14">
        <v>2.1507959954925941E-2</v>
      </c>
      <c r="AO12" s="14">
        <v>0.10753979977462969</v>
      </c>
    </row>
    <row r="13" spans="1:41" x14ac:dyDescent="0.25">
      <c r="A13">
        <v>11</v>
      </c>
      <c r="B13">
        <v>118929679</v>
      </c>
      <c r="C13">
        <v>2020</v>
      </c>
      <c r="D13">
        <v>5</v>
      </c>
      <c r="E13">
        <v>31</v>
      </c>
      <c r="F13" t="s">
        <v>374</v>
      </c>
      <c r="G13" t="s">
        <v>375</v>
      </c>
      <c r="H13" t="s">
        <v>68</v>
      </c>
      <c r="I13">
        <v>44269</v>
      </c>
      <c r="J13" t="s">
        <v>8</v>
      </c>
      <c r="L13">
        <v>0</v>
      </c>
      <c r="M13">
        <v>0</v>
      </c>
      <c r="N13" t="s">
        <v>206</v>
      </c>
      <c r="O13" t="s">
        <v>181</v>
      </c>
      <c r="P13" t="s">
        <v>182</v>
      </c>
      <c r="Q13" t="s">
        <v>221</v>
      </c>
      <c r="R13" t="s">
        <v>181</v>
      </c>
      <c r="S13" t="s">
        <v>182</v>
      </c>
      <c r="T13" t="s">
        <v>181</v>
      </c>
      <c r="U13" t="s">
        <v>182</v>
      </c>
      <c r="V13">
        <v>73</v>
      </c>
      <c r="W13">
        <v>3.5</v>
      </c>
      <c r="X13">
        <v>0</v>
      </c>
      <c r="Y13">
        <v>112500</v>
      </c>
      <c r="Z13">
        <v>262</v>
      </c>
      <c r="AA13">
        <v>1974</v>
      </c>
      <c r="AB13">
        <v>5355</v>
      </c>
      <c r="AC13">
        <v>4.76</v>
      </c>
      <c r="AD13">
        <v>7312.5</v>
      </c>
      <c r="AE13">
        <v>6.5</v>
      </c>
      <c r="AF13">
        <v>1687.5</v>
      </c>
      <c r="AG13">
        <v>1.5</v>
      </c>
      <c r="AH13">
        <v>562.5</v>
      </c>
      <c r="AI13">
        <v>0.5</v>
      </c>
      <c r="AJ13">
        <v>0</v>
      </c>
      <c r="AK13">
        <v>549.36767578125</v>
      </c>
      <c r="AL13" s="18">
        <v>-17.345956568602219</v>
      </c>
      <c r="AM13" s="14">
        <v>5.1738670978280062E-2</v>
      </c>
      <c r="AN13" s="14">
        <v>3.112753671493319E-2</v>
      </c>
      <c r="AO13" s="14">
        <v>0.15563768357466595</v>
      </c>
    </row>
    <row r="14" spans="1:41" x14ac:dyDescent="0.25">
      <c r="A14">
        <v>12</v>
      </c>
      <c r="B14">
        <v>118147487</v>
      </c>
      <c r="C14">
        <v>2020</v>
      </c>
      <c r="D14">
        <v>5</v>
      </c>
      <c r="E14">
        <v>31</v>
      </c>
      <c r="F14" t="s">
        <v>331</v>
      </c>
      <c r="G14" t="s">
        <v>332</v>
      </c>
      <c r="H14" t="s">
        <v>68</v>
      </c>
      <c r="I14">
        <v>44143</v>
      </c>
      <c r="J14" t="s">
        <v>26</v>
      </c>
      <c r="K14" t="s">
        <v>333</v>
      </c>
      <c r="L14">
        <v>51.511899999999997</v>
      </c>
      <c r="M14">
        <v>7.4962400000000002</v>
      </c>
      <c r="N14" t="s">
        <v>334</v>
      </c>
      <c r="O14" t="s">
        <v>182</v>
      </c>
      <c r="P14" t="s">
        <v>182</v>
      </c>
      <c r="R14" t="s">
        <v>181</v>
      </c>
      <c r="S14" t="s">
        <v>182</v>
      </c>
      <c r="T14" t="s">
        <v>182</v>
      </c>
      <c r="U14" t="s">
        <v>182</v>
      </c>
      <c r="V14">
        <v>50</v>
      </c>
      <c r="W14">
        <v>1</v>
      </c>
      <c r="X14">
        <v>0</v>
      </c>
      <c r="Y14">
        <v>105000</v>
      </c>
      <c r="Z14">
        <v>130</v>
      </c>
      <c r="AA14">
        <v>1953</v>
      </c>
      <c r="AB14">
        <v>3748.5</v>
      </c>
      <c r="AC14">
        <v>3.57</v>
      </c>
      <c r="AD14">
        <v>6825</v>
      </c>
      <c r="AE14">
        <v>6.5</v>
      </c>
      <c r="AF14">
        <v>1575</v>
      </c>
      <c r="AG14">
        <v>1.5</v>
      </c>
      <c r="AH14">
        <v>525</v>
      </c>
      <c r="AI14">
        <v>0.5</v>
      </c>
      <c r="AJ14">
        <v>300</v>
      </c>
      <c r="AK14">
        <v>366.57601928710898</v>
      </c>
      <c r="AL14" s="18">
        <v>-90.567253438664409</v>
      </c>
      <c r="AM14" s="14">
        <v>3.0593124195337097E-2</v>
      </c>
      <c r="AN14" s="14">
        <v>1.6261762928781755E-2</v>
      </c>
      <c r="AO14" s="14">
        <v>8.1308814643908781E-2</v>
      </c>
    </row>
    <row r="15" spans="1:41" x14ac:dyDescent="0.25">
      <c r="A15">
        <v>13</v>
      </c>
      <c r="B15">
        <v>115488032</v>
      </c>
      <c r="C15">
        <v>2020</v>
      </c>
      <c r="D15">
        <v>5</v>
      </c>
      <c r="E15">
        <v>31</v>
      </c>
      <c r="F15" t="s">
        <v>246</v>
      </c>
      <c r="G15" t="s">
        <v>247</v>
      </c>
      <c r="H15" t="s">
        <v>68</v>
      </c>
      <c r="I15">
        <v>44143</v>
      </c>
      <c r="J15" t="s">
        <v>33</v>
      </c>
      <c r="K15" t="s">
        <v>248</v>
      </c>
      <c r="L15">
        <v>51.514189999999999</v>
      </c>
      <c r="M15">
        <v>7.4995900000000004</v>
      </c>
      <c r="N15" t="s">
        <v>249</v>
      </c>
      <c r="O15" t="s">
        <v>182</v>
      </c>
      <c r="P15" t="s">
        <v>181</v>
      </c>
      <c r="R15" t="s">
        <v>181</v>
      </c>
      <c r="S15" t="s">
        <v>182</v>
      </c>
      <c r="T15" t="s">
        <v>182</v>
      </c>
      <c r="U15" t="s">
        <v>182</v>
      </c>
      <c r="V15">
        <v>38</v>
      </c>
      <c r="W15">
        <v>2</v>
      </c>
      <c r="X15">
        <v>0</v>
      </c>
      <c r="Y15">
        <v>87000</v>
      </c>
      <c r="Z15">
        <v>130</v>
      </c>
      <c r="AA15">
        <v>1988</v>
      </c>
      <c r="AB15">
        <v>3105.9</v>
      </c>
      <c r="AC15">
        <v>3.57</v>
      </c>
      <c r="AD15">
        <v>5655</v>
      </c>
      <c r="AE15">
        <v>6.5</v>
      </c>
      <c r="AF15">
        <v>1305</v>
      </c>
      <c r="AG15">
        <v>1.5</v>
      </c>
      <c r="AH15">
        <v>435</v>
      </c>
      <c r="AI15">
        <v>0.5</v>
      </c>
      <c r="AJ15">
        <v>0</v>
      </c>
      <c r="AK15">
        <v>330.34799194335898</v>
      </c>
      <c r="AL15" s="18">
        <v>-34.069654584321562</v>
      </c>
      <c r="AM15" s="14">
        <v>4.0657839089898742E-2</v>
      </c>
      <c r="AN15" s="14">
        <v>2.4817920319918155E-2</v>
      </c>
      <c r="AO15" s="14">
        <v>0.12408960159959077</v>
      </c>
    </row>
    <row r="16" spans="1:41" x14ac:dyDescent="0.25">
      <c r="A16">
        <v>14</v>
      </c>
      <c r="B16">
        <v>118218036</v>
      </c>
      <c r="C16">
        <v>2020</v>
      </c>
      <c r="D16">
        <v>5</v>
      </c>
      <c r="E16">
        <v>31</v>
      </c>
      <c r="F16" t="s">
        <v>335</v>
      </c>
      <c r="G16" t="s">
        <v>336</v>
      </c>
      <c r="H16" t="s">
        <v>68</v>
      </c>
      <c r="I16">
        <v>44388</v>
      </c>
      <c r="J16" t="s">
        <v>41</v>
      </c>
      <c r="K16" t="s">
        <v>337</v>
      </c>
      <c r="L16">
        <v>51.507980000000003</v>
      </c>
      <c r="M16">
        <v>7.3239400000000003</v>
      </c>
      <c r="N16" t="s">
        <v>338</v>
      </c>
      <c r="O16" t="s">
        <v>181</v>
      </c>
      <c r="P16" t="s">
        <v>182</v>
      </c>
      <c r="R16" t="s">
        <v>181</v>
      </c>
      <c r="S16" t="s">
        <v>182</v>
      </c>
      <c r="T16" t="s">
        <v>182</v>
      </c>
      <c r="U16" t="s">
        <v>182</v>
      </c>
      <c r="V16">
        <v>60</v>
      </c>
      <c r="W16">
        <v>3</v>
      </c>
      <c r="X16">
        <v>0</v>
      </c>
      <c r="Y16">
        <v>65500</v>
      </c>
      <c r="Z16">
        <v>0</v>
      </c>
      <c r="AB16">
        <v>3117.8</v>
      </c>
      <c r="AC16">
        <v>4.76</v>
      </c>
      <c r="AD16">
        <v>4257.5</v>
      </c>
      <c r="AE16">
        <v>6.5</v>
      </c>
      <c r="AF16">
        <v>982.5</v>
      </c>
      <c r="AG16">
        <v>1.5</v>
      </c>
      <c r="AH16">
        <v>327.5</v>
      </c>
      <c r="AI16">
        <v>0.5</v>
      </c>
      <c r="AJ16">
        <v>420</v>
      </c>
      <c r="AK16">
        <v>430.08425903320301</v>
      </c>
      <c r="AL16" s="18">
        <v>38.133854839676331</v>
      </c>
      <c r="AM16" s="14">
        <v>6.7937987714547218E-2</v>
      </c>
      <c r="AN16" s="14">
        <v>4.7553025842046875E-2</v>
      </c>
      <c r="AO16" s="14">
        <v>0.23776512921023438</v>
      </c>
    </row>
    <row r="17" spans="1:41" x14ac:dyDescent="0.25">
      <c r="A17">
        <v>15</v>
      </c>
      <c r="B17">
        <v>118879033</v>
      </c>
      <c r="C17">
        <v>2020</v>
      </c>
      <c r="D17">
        <v>5</v>
      </c>
      <c r="E17">
        <v>31</v>
      </c>
      <c r="F17" t="s">
        <v>367</v>
      </c>
      <c r="G17" t="s">
        <v>368</v>
      </c>
      <c r="H17" t="s">
        <v>68</v>
      </c>
      <c r="I17">
        <v>44145</v>
      </c>
      <c r="J17" t="s">
        <v>26</v>
      </c>
      <c r="L17">
        <v>0</v>
      </c>
      <c r="M17">
        <v>0</v>
      </c>
      <c r="N17" t="s">
        <v>272</v>
      </c>
      <c r="O17" t="s">
        <v>182</v>
      </c>
      <c r="P17" t="s">
        <v>182</v>
      </c>
      <c r="Q17" t="s">
        <v>225</v>
      </c>
      <c r="R17" t="s">
        <v>182</v>
      </c>
      <c r="S17" t="s">
        <v>182</v>
      </c>
      <c r="T17" t="s">
        <v>182</v>
      </c>
      <c r="U17" t="s">
        <v>182</v>
      </c>
      <c r="V17">
        <v>33.6</v>
      </c>
      <c r="W17">
        <v>2</v>
      </c>
      <c r="X17">
        <v>0</v>
      </c>
      <c r="Y17">
        <v>44900</v>
      </c>
      <c r="Z17">
        <v>0</v>
      </c>
      <c r="AA17">
        <v>1903</v>
      </c>
      <c r="AB17">
        <v>0</v>
      </c>
      <c r="AC17">
        <v>0</v>
      </c>
      <c r="AD17">
        <v>0</v>
      </c>
      <c r="AE17">
        <v>0</v>
      </c>
      <c r="AF17">
        <v>0</v>
      </c>
      <c r="AG17">
        <v>0</v>
      </c>
      <c r="AH17">
        <v>0</v>
      </c>
      <c r="AI17">
        <v>0</v>
      </c>
      <c r="AJ17">
        <v>195</v>
      </c>
      <c r="AK17">
        <v>330.34799194335898</v>
      </c>
      <c r="AL17" s="18">
        <v>-28.719591215490588</v>
      </c>
      <c r="AM17" s="14">
        <v>5.2115812917594657E-2</v>
      </c>
      <c r="AN17" s="14">
        <v>2.3026815144766146E-2</v>
      </c>
      <c r="AO17" s="14">
        <v>0.11513407572383073</v>
      </c>
    </row>
    <row r="18" spans="1:41" x14ac:dyDescent="0.25">
      <c r="A18">
        <v>16</v>
      </c>
      <c r="B18">
        <v>116718706</v>
      </c>
      <c r="C18">
        <v>2020</v>
      </c>
      <c r="D18">
        <v>5</v>
      </c>
      <c r="E18">
        <v>31</v>
      </c>
      <c r="F18" t="s">
        <v>361</v>
      </c>
      <c r="G18" t="s">
        <v>362</v>
      </c>
      <c r="H18" t="s">
        <v>68</v>
      </c>
      <c r="I18">
        <v>44388</v>
      </c>
      <c r="J18" t="s">
        <v>41</v>
      </c>
      <c r="L18">
        <v>0</v>
      </c>
      <c r="M18">
        <v>0</v>
      </c>
      <c r="N18" t="s">
        <v>338</v>
      </c>
      <c r="O18" t="s">
        <v>182</v>
      </c>
      <c r="P18" t="s">
        <v>182</v>
      </c>
      <c r="R18" t="s">
        <v>181</v>
      </c>
      <c r="S18" t="s">
        <v>182</v>
      </c>
      <c r="T18" t="s">
        <v>182</v>
      </c>
      <c r="U18" t="s">
        <v>182</v>
      </c>
      <c r="V18">
        <v>47</v>
      </c>
      <c r="W18">
        <v>2</v>
      </c>
      <c r="X18">
        <v>0</v>
      </c>
      <c r="Y18">
        <v>39500</v>
      </c>
      <c r="Z18">
        <v>0</v>
      </c>
      <c r="AB18">
        <v>0</v>
      </c>
      <c r="AC18">
        <v>0</v>
      </c>
      <c r="AD18">
        <v>0</v>
      </c>
      <c r="AE18">
        <v>0</v>
      </c>
      <c r="AF18">
        <v>0</v>
      </c>
      <c r="AG18">
        <v>0</v>
      </c>
      <c r="AH18">
        <v>0</v>
      </c>
      <c r="AI18">
        <v>0</v>
      </c>
      <c r="AJ18">
        <v>300</v>
      </c>
      <c r="AK18">
        <v>336.840240478515</v>
      </c>
      <c r="AL18" s="18">
        <v>33.317508841606298</v>
      </c>
      <c r="AM18" s="14">
        <v>9.1139240506329114E-2</v>
      </c>
      <c r="AN18" s="14">
        <v>5.9035949367088607E-2</v>
      </c>
      <c r="AO18" s="14">
        <v>0.29517974683544307</v>
      </c>
    </row>
    <row r="19" spans="1:41" x14ac:dyDescent="0.25">
      <c r="A19">
        <v>17</v>
      </c>
      <c r="B19">
        <v>117314261</v>
      </c>
      <c r="C19">
        <v>2020</v>
      </c>
      <c r="D19">
        <v>5</v>
      </c>
      <c r="E19">
        <v>31</v>
      </c>
      <c r="F19" t="s">
        <v>306</v>
      </c>
      <c r="G19" t="s">
        <v>307</v>
      </c>
      <c r="H19" t="s">
        <v>68</v>
      </c>
      <c r="I19">
        <v>44287</v>
      </c>
      <c r="J19" t="s">
        <v>3</v>
      </c>
      <c r="L19">
        <v>0</v>
      </c>
      <c r="M19">
        <v>0</v>
      </c>
      <c r="O19" t="s">
        <v>181</v>
      </c>
      <c r="P19" t="s">
        <v>181</v>
      </c>
      <c r="R19" t="s">
        <v>181</v>
      </c>
      <c r="S19" t="s">
        <v>182</v>
      </c>
      <c r="T19" t="s">
        <v>182</v>
      </c>
      <c r="U19" t="s">
        <v>182</v>
      </c>
      <c r="V19">
        <v>66</v>
      </c>
      <c r="W19">
        <v>3</v>
      </c>
      <c r="X19">
        <v>0</v>
      </c>
      <c r="Y19">
        <v>138600</v>
      </c>
      <c r="Z19">
        <v>154</v>
      </c>
      <c r="AA19">
        <v>1962</v>
      </c>
      <c r="AB19">
        <v>0</v>
      </c>
      <c r="AC19">
        <v>0</v>
      </c>
      <c r="AD19">
        <v>9009</v>
      </c>
      <c r="AE19">
        <v>6.5</v>
      </c>
      <c r="AF19">
        <v>2079</v>
      </c>
      <c r="AG19">
        <v>1.5</v>
      </c>
      <c r="AH19">
        <v>693</v>
      </c>
      <c r="AI19">
        <v>0.5</v>
      </c>
      <c r="AJ19">
        <v>0</v>
      </c>
      <c r="AK19">
        <v>489.302642822265</v>
      </c>
      <c r="AL19" s="18">
        <v>-52.017418348028045</v>
      </c>
      <c r="AM19" s="14">
        <v>3.9045037031720631E-2</v>
      </c>
      <c r="AN19" s="14">
        <v>2.5246204466436453E-2</v>
      </c>
      <c r="AO19" s="14">
        <v>0.12623102233218225</v>
      </c>
    </row>
    <row r="20" spans="1:41" x14ac:dyDescent="0.25">
      <c r="A20">
        <v>18</v>
      </c>
      <c r="B20">
        <v>117394268</v>
      </c>
      <c r="C20">
        <v>2020</v>
      </c>
      <c r="D20">
        <v>5</v>
      </c>
      <c r="E20">
        <v>31</v>
      </c>
      <c r="F20" t="s">
        <v>308</v>
      </c>
      <c r="G20" t="s">
        <v>309</v>
      </c>
      <c r="H20" t="s">
        <v>68</v>
      </c>
      <c r="I20">
        <v>44328</v>
      </c>
      <c r="J20" t="s">
        <v>53</v>
      </c>
      <c r="K20" t="s">
        <v>310</v>
      </c>
      <c r="L20">
        <v>51.545830000000002</v>
      </c>
      <c r="M20">
        <v>7.5198</v>
      </c>
      <c r="N20" t="s">
        <v>214</v>
      </c>
      <c r="O20" t="s">
        <v>181</v>
      </c>
      <c r="P20" t="s">
        <v>182</v>
      </c>
      <c r="Q20" t="s">
        <v>311</v>
      </c>
      <c r="R20" t="s">
        <v>181</v>
      </c>
      <c r="S20" t="s">
        <v>182</v>
      </c>
      <c r="T20" t="s">
        <v>182</v>
      </c>
      <c r="U20" t="s">
        <v>182</v>
      </c>
      <c r="V20">
        <v>48.38</v>
      </c>
      <c r="W20">
        <v>2.5</v>
      </c>
      <c r="X20">
        <v>0</v>
      </c>
      <c r="Y20">
        <v>69800</v>
      </c>
      <c r="Z20">
        <v>189</v>
      </c>
      <c r="AA20">
        <v>1960</v>
      </c>
      <c r="AB20">
        <v>0</v>
      </c>
      <c r="AC20">
        <v>0</v>
      </c>
      <c r="AD20">
        <v>4537</v>
      </c>
      <c r="AE20">
        <v>6.5</v>
      </c>
      <c r="AF20">
        <v>1047</v>
      </c>
      <c r="AG20">
        <v>1.5</v>
      </c>
      <c r="AH20">
        <v>349</v>
      </c>
      <c r="AI20">
        <v>0.5</v>
      </c>
      <c r="AJ20">
        <v>0</v>
      </c>
      <c r="AK20">
        <v>380.78890991210898</v>
      </c>
      <c r="AL20" s="18">
        <v>6.8198918676582601</v>
      </c>
      <c r="AM20" s="14">
        <v>6.0336536502519481E-2</v>
      </c>
      <c r="AN20" s="14">
        <v>3.6825513302593427E-2</v>
      </c>
      <c r="AO20" s="14">
        <v>0.18412756651296713</v>
      </c>
    </row>
    <row r="21" spans="1:41" x14ac:dyDescent="0.25">
      <c r="A21">
        <v>19</v>
      </c>
      <c r="B21">
        <v>117644708</v>
      </c>
      <c r="C21">
        <v>2020</v>
      </c>
      <c r="D21">
        <v>5</v>
      </c>
      <c r="E21">
        <v>31</v>
      </c>
      <c r="F21" t="s">
        <v>308</v>
      </c>
      <c r="G21" t="s">
        <v>312</v>
      </c>
      <c r="H21" t="s">
        <v>68</v>
      </c>
      <c r="I21">
        <v>44388</v>
      </c>
      <c r="J21" t="s">
        <v>20</v>
      </c>
      <c r="K21" t="s">
        <v>313</v>
      </c>
      <c r="L21">
        <v>51.505609999999997</v>
      </c>
      <c r="M21">
        <v>7.3119199999999998</v>
      </c>
      <c r="N21" t="s">
        <v>214</v>
      </c>
      <c r="O21" t="s">
        <v>181</v>
      </c>
      <c r="P21" t="s">
        <v>182</v>
      </c>
      <c r="Q21" t="s">
        <v>314</v>
      </c>
      <c r="R21" t="s">
        <v>181</v>
      </c>
      <c r="S21" t="s">
        <v>182</v>
      </c>
      <c r="T21" t="s">
        <v>182</v>
      </c>
      <c r="U21" t="s">
        <v>182</v>
      </c>
      <c r="V21">
        <v>43.64</v>
      </c>
      <c r="W21">
        <v>2.5</v>
      </c>
      <c r="X21">
        <v>0</v>
      </c>
      <c r="Y21">
        <v>69800</v>
      </c>
      <c r="Z21">
        <v>256</v>
      </c>
      <c r="AA21">
        <v>1959</v>
      </c>
      <c r="AB21">
        <v>0</v>
      </c>
      <c r="AC21">
        <v>0</v>
      </c>
      <c r="AD21">
        <v>4537</v>
      </c>
      <c r="AE21">
        <v>6.5</v>
      </c>
      <c r="AF21">
        <v>1047</v>
      </c>
      <c r="AG21">
        <v>1.5</v>
      </c>
      <c r="AH21">
        <v>349</v>
      </c>
      <c r="AI21">
        <v>0.5</v>
      </c>
      <c r="AJ21">
        <v>0</v>
      </c>
      <c r="AK21">
        <v>380.78890991210898</v>
      </c>
      <c r="AL21" s="18">
        <v>-11.814608132341704</v>
      </c>
      <c r="AM21" s="14">
        <v>6.0336536502519481E-2</v>
      </c>
      <c r="AN21" s="14">
        <v>3.0986579152355084E-2</v>
      </c>
      <c r="AO21" s="14">
        <v>0.15493289576177541</v>
      </c>
    </row>
    <row r="22" spans="1:41" x14ac:dyDescent="0.25">
      <c r="A22">
        <v>20</v>
      </c>
      <c r="B22">
        <v>118301638</v>
      </c>
      <c r="C22">
        <v>2020</v>
      </c>
      <c r="D22">
        <v>5</v>
      </c>
      <c r="E22">
        <v>31</v>
      </c>
      <c r="F22" t="s">
        <v>339</v>
      </c>
      <c r="G22" t="s">
        <v>340</v>
      </c>
      <c r="H22" t="s">
        <v>68</v>
      </c>
      <c r="I22">
        <v>44225</v>
      </c>
      <c r="J22" t="s">
        <v>31</v>
      </c>
      <c r="K22" t="s">
        <v>224</v>
      </c>
      <c r="L22">
        <v>51.473109999999998</v>
      </c>
      <c r="M22">
        <v>7.4487399999999999</v>
      </c>
      <c r="N22" t="s">
        <v>214</v>
      </c>
      <c r="O22" t="s">
        <v>181</v>
      </c>
      <c r="P22" t="s">
        <v>182</v>
      </c>
      <c r="Q22" t="s">
        <v>225</v>
      </c>
      <c r="R22" t="s">
        <v>182</v>
      </c>
      <c r="S22" t="s">
        <v>182</v>
      </c>
      <c r="T22" t="s">
        <v>182</v>
      </c>
      <c r="U22" t="s">
        <v>182</v>
      </c>
      <c r="V22">
        <v>83</v>
      </c>
      <c r="W22">
        <v>3.5</v>
      </c>
      <c r="X22">
        <v>0</v>
      </c>
      <c r="Y22">
        <v>127500</v>
      </c>
      <c r="Z22">
        <v>0</v>
      </c>
      <c r="AA22">
        <v>1970</v>
      </c>
      <c r="AB22">
        <v>0</v>
      </c>
      <c r="AC22">
        <v>0</v>
      </c>
      <c r="AD22">
        <v>8287.5</v>
      </c>
      <c r="AE22">
        <v>6.5</v>
      </c>
      <c r="AF22">
        <v>1912.5</v>
      </c>
      <c r="AG22">
        <v>1.5</v>
      </c>
      <c r="AH22">
        <v>637.5</v>
      </c>
      <c r="AI22">
        <v>0.5</v>
      </c>
      <c r="AJ22">
        <v>495</v>
      </c>
      <c r="AK22">
        <v>681.38000488281205</v>
      </c>
      <c r="AL22" s="18">
        <v>-36.195222990488382</v>
      </c>
      <c r="AM22" s="14">
        <v>4.2938465708864192E-2</v>
      </c>
      <c r="AN22" s="14">
        <v>2.8742054757386823E-2</v>
      </c>
      <c r="AO22" s="14">
        <v>0.14371027378693413</v>
      </c>
    </row>
    <row r="23" spans="1:41" x14ac:dyDescent="0.25">
      <c r="A23">
        <v>21</v>
      </c>
      <c r="B23">
        <v>118037298</v>
      </c>
      <c r="C23">
        <v>2020</v>
      </c>
      <c r="D23">
        <v>5</v>
      </c>
      <c r="E23">
        <v>31</v>
      </c>
      <c r="F23" t="s">
        <v>325</v>
      </c>
      <c r="G23" t="s">
        <v>326</v>
      </c>
      <c r="H23" t="s">
        <v>68</v>
      </c>
      <c r="I23">
        <v>44289</v>
      </c>
      <c r="J23" t="s">
        <v>55</v>
      </c>
      <c r="L23">
        <v>0</v>
      </c>
      <c r="M23">
        <v>0</v>
      </c>
      <c r="N23" t="s">
        <v>282</v>
      </c>
      <c r="O23" t="s">
        <v>181</v>
      </c>
      <c r="P23" t="s">
        <v>182</v>
      </c>
      <c r="Q23" t="s">
        <v>215</v>
      </c>
      <c r="R23" t="s">
        <v>181</v>
      </c>
      <c r="S23" t="s">
        <v>182</v>
      </c>
      <c r="T23" t="s">
        <v>182</v>
      </c>
      <c r="U23" t="s">
        <v>182</v>
      </c>
      <c r="V23">
        <v>68</v>
      </c>
      <c r="W23">
        <v>2.5</v>
      </c>
      <c r="X23">
        <v>0</v>
      </c>
      <c r="Y23">
        <v>94900</v>
      </c>
      <c r="Z23">
        <v>155</v>
      </c>
      <c r="AA23">
        <v>1973</v>
      </c>
      <c r="AB23">
        <v>4517.24</v>
      </c>
      <c r="AC23">
        <v>4.76</v>
      </c>
      <c r="AD23">
        <v>6168.5</v>
      </c>
      <c r="AE23">
        <v>6.5</v>
      </c>
      <c r="AF23">
        <v>1423.5</v>
      </c>
      <c r="AG23">
        <v>1.5</v>
      </c>
      <c r="AH23">
        <v>474.5</v>
      </c>
      <c r="AI23">
        <v>0.5</v>
      </c>
      <c r="AJ23">
        <v>350</v>
      </c>
      <c r="AK23">
        <v>489.302642822265</v>
      </c>
      <c r="AL23" s="18">
        <v>-62.134861461293447</v>
      </c>
      <c r="AM23" s="14">
        <v>3.9075677865321769E-2</v>
      </c>
      <c r="AN23" s="14">
        <v>2.2517959185268391E-2</v>
      </c>
      <c r="AO23" s="14">
        <v>0.11258979592634194</v>
      </c>
    </row>
    <row r="24" spans="1:41" x14ac:dyDescent="0.25">
      <c r="A24">
        <v>22</v>
      </c>
      <c r="B24">
        <v>118057948</v>
      </c>
      <c r="C24">
        <v>2020</v>
      </c>
      <c r="D24">
        <v>5</v>
      </c>
      <c r="E24">
        <v>31</v>
      </c>
      <c r="F24" t="s">
        <v>327</v>
      </c>
      <c r="G24" t="s">
        <v>328</v>
      </c>
      <c r="H24" t="s">
        <v>68</v>
      </c>
      <c r="I24">
        <v>44225</v>
      </c>
      <c r="J24" t="s">
        <v>6</v>
      </c>
      <c r="K24" t="s">
        <v>329</v>
      </c>
      <c r="L24">
        <v>51.482950000000002</v>
      </c>
      <c r="M24">
        <v>7.4326100000000004</v>
      </c>
      <c r="N24" t="s">
        <v>330</v>
      </c>
      <c r="O24" t="s">
        <v>182</v>
      </c>
      <c r="P24" t="s">
        <v>182</v>
      </c>
      <c r="R24" t="s">
        <v>181</v>
      </c>
      <c r="S24" t="s">
        <v>182</v>
      </c>
      <c r="T24" t="s">
        <v>182</v>
      </c>
      <c r="U24" t="s">
        <v>181</v>
      </c>
      <c r="V24">
        <v>40.78</v>
      </c>
      <c r="W24">
        <v>1</v>
      </c>
      <c r="X24">
        <v>0</v>
      </c>
      <c r="Y24">
        <v>89000</v>
      </c>
      <c r="Z24">
        <v>107</v>
      </c>
      <c r="AA24">
        <v>1970</v>
      </c>
      <c r="AB24">
        <v>0</v>
      </c>
      <c r="AC24">
        <v>0</v>
      </c>
      <c r="AD24">
        <v>5785</v>
      </c>
      <c r="AE24">
        <v>6.5</v>
      </c>
      <c r="AF24">
        <v>1335</v>
      </c>
      <c r="AG24">
        <v>1.5</v>
      </c>
      <c r="AH24">
        <v>445</v>
      </c>
      <c r="AI24">
        <v>0.5</v>
      </c>
      <c r="AJ24">
        <v>400</v>
      </c>
      <c r="AK24">
        <v>336.840240478515</v>
      </c>
      <c r="AL24" s="18">
        <v>12.992756108600275</v>
      </c>
      <c r="AM24" s="14">
        <v>4.9707450939781496E-2</v>
      </c>
      <c r="AN24" s="14">
        <v>3.5354242220266133E-2</v>
      </c>
      <c r="AO24" s="14">
        <v>0.17677121110133068</v>
      </c>
    </row>
    <row r="25" spans="1:41" x14ac:dyDescent="0.25">
      <c r="A25">
        <v>23</v>
      </c>
      <c r="B25">
        <v>117289854</v>
      </c>
      <c r="C25">
        <v>2020</v>
      </c>
      <c r="D25">
        <v>5</v>
      </c>
      <c r="E25">
        <v>31</v>
      </c>
      <c r="F25" t="s">
        <v>304</v>
      </c>
      <c r="G25" t="s">
        <v>305</v>
      </c>
      <c r="H25" t="s">
        <v>68</v>
      </c>
      <c r="I25">
        <v>44149</v>
      </c>
      <c r="J25" t="s">
        <v>16</v>
      </c>
      <c r="L25">
        <v>0</v>
      </c>
      <c r="M25">
        <v>0</v>
      </c>
      <c r="N25" t="s">
        <v>200</v>
      </c>
      <c r="O25" t="s">
        <v>182</v>
      </c>
      <c r="P25" t="s">
        <v>181</v>
      </c>
      <c r="R25" t="s">
        <v>181</v>
      </c>
      <c r="S25" t="s">
        <v>181</v>
      </c>
      <c r="T25" t="s">
        <v>182</v>
      </c>
      <c r="U25" t="s">
        <v>182</v>
      </c>
      <c r="V25">
        <v>60</v>
      </c>
      <c r="W25">
        <v>2.5</v>
      </c>
      <c r="X25">
        <v>0</v>
      </c>
      <c r="Y25">
        <v>125000</v>
      </c>
      <c r="Z25">
        <v>140</v>
      </c>
      <c r="AB25">
        <v>6250</v>
      </c>
      <c r="AC25">
        <v>5</v>
      </c>
      <c r="AD25">
        <v>8125</v>
      </c>
      <c r="AE25">
        <v>6.5</v>
      </c>
      <c r="AF25">
        <v>1875</v>
      </c>
      <c r="AG25">
        <v>1.5</v>
      </c>
      <c r="AH25">
        <v>625</v>
      </c>
      <c r="AI25">
        <v>0.5</v>
      </c>
      <c r="AJ25">
        <v>525</v>
      </c>
      <c r="AK25">
        <v>386.13558959960898</v>
      </c>
      <c r="AL25" s="18">
        <v>-10.28209640752172</v>
      </c>
      <c r="AM25" s="14">
        <v>4.4405286343612335E-2</v>
      </c>
      <c r="AN25" s="14">
        <v>3.0852511013215858E-2</v>
      </c>
      <c r="AO25" s="14">
        <v>0.15426255506607928</v>
      </c>
    </row>
    <row r="26" spans="1:41" x14ac:dyDescent="0.25">
      <c r="A26">
        <v>24</v>
      </c>
      <c r="B26">
        <v>117994776</v>
      </c>
      <c r="C26">
        <v>2020</v>
      </c>
      <c r="D26">
        <v>5</v>
      </c>
      <c r="E26">
        <v>31</v>
      </c>
      <c r="F26" t="s">
        <v>319</v>
      </c>
      <c r="G26" t="s">
        <v>320</v>
      </c>
      <c r="H26" t="s">
        <v>68</v>
      </c>
      <c r="I26">
        <v>44357</v>
      </c>
      <c r="J26" t="s">
        <v>60</v>
      </c>
      <c r="L26">
        <v>0</v>
      </c>
      <c r="M26">
        <v>0</v>
      </c>
      <c r="N26" t="s">
        <v>321</v>
      </c>
      <c r="O26" t="s">
        <v>181</v>
      </c>
      <c r="P26" t="s">
        <v>182</v>
      </c>
      <c r="Q26" t="s">
        <v>215</v>
      </c>
      <c r="R26" t="s">
        <v>181</v>
      </c>
      <c r="S26" t="s">
        <v>181</v>
      </c>
      <c r="T26" t="s">
        <v>182</v>
      </c>
      <c r="U26" t="s">
        <v>182</v>
      </c>
      <c r="V26">
        <v>73</v>
      </c>
      <c r="W26">
        <v>3</v>
      </c>
      <c r="X26">
        <v>0</v>
      </c>
      <c r="Y26">
        <v>143000</v>
      </c>
      <c r="Z26">
        <v>0</v>
      </c>
      <c r="AA26">
        <v>1962</v>
      </c>
      <c r="AB26">
        <v>6806.8</v>
      </c>
      <c r="AC26">
        <v>4.76</v>
      </c>
      <c r="AD26">
        <v>9295</v>
      </c>
      <c r="AE26">
        <v>6.5</v>
      </c>
      <c r="AF26">
        <v>2145</v>
      </c>
      <c r="AG26">
        <v>1.5</v>
      </c>
      <c r="AH26">
        <v>715</v>
      </c>
      <c r="AI26">
        <v>0.5</v>
      </c>
      <c r="AJ26">
        <v>335</v>
      </c>
      <c r="AK26">
        <v>549.36767578125</v>
      </c>
      <c r="AL26" s="18">
        <v>-161.27513370879822</v>
      </c>
      <c r="AM26" s="14">
        <v>2.4820667589518022E-2</v>
      </c>
      <c r="AN26" s="14">
        <v>1.166811512344269E-2</v>
      </c>
      <c r="AO26" s="14">
        <v>5.8340575617213446E-2</v>
      </c>
    </row>
    <row r="27" spans="1:41" x14ac:dyDescent="0.25">
      <c r="A27">
        <v>25</v>
      </c>
      <c r="B27">
        <v>118356519</v>
      </c>
      <c r="C27">
        <v>2020</v>
      </c>
      <c r="D27">
        <v>5</v>
      </c>
      <c r="E27">
        <v>31</v>
      </c>
      <c r="F27" t="s">
        <v>341</v>
      </c>
      <c r="G27" t="s">
        <v>342</v>
      </c>
      <c r="H27" t="s">
        <v>68</v>
      </c>
      <c r="I27">
        <v>44135</v>
      </c>
      <c r="J27" t="s">
        <v>26</v>
      </c>
      <c r="L27">
        <v>0</v>
      </c>
      <c r="M27">
        <v>0</v>
      </c>
      <c r="N27" t="s">
        <v>343</v>
      </c>
      <c r="O27" t="s">
        <v>182</v>
      </c>
      <c r="P27" t="s">
        <v>182</v>
      </c>
      <c r="Q27" t="s">
        <v>221</v>
      </c>
      <c r="R27" t="s">
        <v>182</v>
      </c>
      <c r="S27" t="s">
        <v>182</v>
      </c>
      <c r="T27" t="s">
        <v>182</v>
      </c>
      <c r="U27" t="s">
        <v>182</v>
      </c>
      <c r="V27">
        <v>42</v>
      </c>
      <c r="W27">
        <v>1</v>
      </c>
      <c r="X27">
        <v>0</v>
      </c>
      <c r="Y27">
        <v>100000</v>
      </c>
      <c r="Z27">
        <v>120</v>
      </c>
      <c r="AA27">
        <v>1949</v>
      </c>
      <c r="AB27">
        <v>3570</v>
      </c>
      <c r="AC27">
        <v>3.57</v>
      </c>
      <c r="AD27">
        <v>6500</v>
      </c>
      <c r="AE27">
        <v>6.5</v>
      </c>
      <c r="AF27">
        <v>1500</v>
      </c>
      <c r="AG27">
        <v>1.5</v>
      </c>
      <c r="AH27">
        <v>500</v>
      </c>
      <c r="AI27">
        <v>0.5</v>
      </c>
      <c r="AJ27">
        <v>0</v>
      </c>
      <c r="AK27">
        <v>336.840240478515</v>
      </c>
      <c r="AL27" s="18">
        <v>-53.211304297402933</v>
      </c>
      <c r="AM27" s="14">
        <v>3.6067483588312486E-2</v>
      </c>
      <c r="AN27" s="14">
        <v>2.1960471899189614E-2</v>
      </c>
      <c r="AO27" s="14">
        <v>0.10980235949594808</v>
      </c>
    </row>
    <row r="28" spans="1:41" x14ac:dyDescent="0.25">
      <c r="A28">
        <v>26</v>
      </c>
      <c r="B28">
        <v>118395841</v>
      </c>
      <c r="C28">
        <v>2020</v>
      </c>
      <c r="D28">
        <v>5</v>
      </c>
      <c r="E28">
        <v>31</v>
      </c>
      <c r="F28" t="s">
        <v>347</v>
      </c>
      <c r="G28" t="s">
        <v>348</v>
      </c>
      <c r="H28" t="s">
        <v>68</v>
      </c>
      <c r="I28">
        <v>44145</v>
      </c>
      <c r="J28" t="s">
        <v>26</v>
      </c>
      <c r="L28">
        <v>0</v>
      </c>
      <c r="M28">
        <v>0</v>
      </c>
      <c r="N28" t="s">
        <v>349</v>
      </c>
      <c r="O28" t="s">
        <v>182</v>
      </c>
      <c r="P28" t="s">
        <v>181</v>
      </c>
      <c r="R28" t="s">
        <v>181</v>
      </c>
      <c r="S28" t="s">
        <v>181</v>
      </c>
      <c r="T28" t="s">
        <v>182</v>
      </c>
      <c r="U28" t="s">
        <v>182</v>
      </c>
      <c r="V28">
        <v>55</v>
      </c>
      <c r="W28">
        <v>2</v>
      </c>
      <c r="X28">
        <v>0</v>
      </c>
      <c r="Y28">
        <v>69000</v>
      </c>
      <c r="Z28">
        <v>0</v>
      </c>
      <c r="AA28">
        <v>1960</v>
      </c>
      <c r="AB28">
        <v>2415</v>
      </c>
      <c r="AC28">
        <v>3.5</v>
      </c>
      <c r="AD28">
        <v>4485</v>
      </c>
      <c r="AE28">
        <v>6.5</v>
      </c>
      <c r="AF28">
        <v>1035</v>
      </c>
      <c r="AG28">
        <v>1.5</v>
      </c>
      <c r="AH28">
        <v>345</v>
      </c>
      <c r="AI28">
        <v>0.5</v>
      </c>
      <c r="AJ28">
        <v>0</v>
      </c>
      <c r="AK28">
        <v>366.57601928710898</v>
      </c>
      <c r="AL28" s="18">
        <v>5.0890546209770022</v>
      </c>
      <c r="AM28" s="14">
        <v>5.6921742125327482E-2</v>
      </c>
      <c r="AN28" s="14">
        <v>3.7071183119116301E-2</v>
      </c>
      <c r="AO28" s="14">
        <v>0.18535591559558151</v>
      </c>
    </row>
    <row r="29" spans="1:41" x14ac:dyDescent="0.25">
      <c r="A29">
        <v>27</v>
      </c>
      <c r="B29">
        <v>118766623</v>
      </c>
      <c r="C29">
        <v>2020</v>
      </c>
      <c r="D29">
        <v>5</v>
      </c>
      <c r="E29">
        <v>31</v>
      </c>
      <c r="F29" t="s">
        <v>363</v>
      </c>
      <c r="G29" t="s">
        <v>364</v>
      </c>
      <c r="H29" t="s">
        <v>68</v>
      </c>
      <c r="I29">
        <v>44309</v>
      </c>
      <c r="J29" t="s">
        <v>12</v>
      </c>
      <c r="L29">
        <v>0</v>
      </c>
      <c r="M29">
        <v>0</v>
      </c>
      <c r="N29" t="s">
        <v>349</v>
      </c>
      <c r="O29" t="s">
        <v>181</v>
      </c>
      <c r="P29" t="s">
        <v>182</v>
      </c>
      <c r="Q29" t="s">
        <v>194</v>
      </c>
      <c r="R29" t="s">
        <v>181</v>
      </c>
      <c r="S29" t="s">
        <v>182</v>
      </c>
      <c r="T29" t="s">
        <v>182</v>
      </c>
      <c r="U29" t="s">
        <v>182</v>
      </c>
      <c r="V29">
        <v>52</v>
      </c>
      <c r="W29">
        <v>2.5</v>
      </c>
      <c r="X29">
        <v>0</v>
      </c>
      <c r="Y29">
        <v>86700</v>
      </c>
      <c r="Z29">
        <v>0</v>
      </c>
      <c r="AA29">
        <v>1964</v>
      </c>
      <c r="AB29">
        <v>3034.5</v>
      </c>
      <c r="AC29">
        <v>3.5</v>
      </c>
      <c r="AD29">
        <v>5635.5</v>
      </c>
      <c r="AE29">
        <v>6.5</v>
      </c>
      <c r="AF29">
        <v>1300.5</v>
      </c>
      <c r="AG29">
        <v>1.5</v>
      </c>
      <c r="AH29">
        <v>433.5</v>
      </c>
      <c r="AI29">
        <v>0.5</v>
      </c>
      <c r="AJ29">
        <v>0</v>
      </c>
      <c r="AK29">
        <v>410.52468872070301</v>
      </c>
      <c r="AL29" s="18">
        <v>-0.98573556703880172</v>
      </c>
      <c r="AM29" s="14">
        <v>5.0732166179029037E-2</v>
      </c>
      <c r="AN29" s="14">
        <v>3.3496911606611841E-2</v>
      </c>
      <c r="AO29" s="14">
        <v>0.16748455803305923</v>
      </c>
    </row>
    <row r="30" spans="1:41" x14ac:dyDescent="0.25">
      <c r="A30">
        <v>28</v>
      </c>
      <c r="B30">
        <v>118852876</v>
      </c>
      <c r="C30">
        <v>2020</v>
      </c>
      <c r="D30">
        <v>5</v>
      </c>
      <c r="E30">
        <v>31</v>
      </c>
      <c r="F30" t="s">
        <v>365</v>
      </c>
      <c r="G30" t="s">
        <v>366</v>
      </c>
      <c r="H30" t="s">
        <v>68</v>
      </c>
      <c r="I30">
        <v>44143</v>
      </c>
      <c r="J30" t="s">
        <v>33</v>
      </c>
      <c r="L30">
        <v>0</v>
      </c>
      <c r="M30">
        <v>0</v>
      </c>
      <c r="N30" t="s">
        <v>258</v>
      </c>
      <c r="O30" t="s">
        <v>181</v>
      </c>
      <c r="P30" t="s">
        <v>181</v>
      </c>
      <c r="R30" t="s">
        <v>181</v>
      </c>
      <c r="S30" t="s">
        <v>182</v>
      </c>
      <c r="T30" t="s">
        <v>182</v>
      </c>
      <c r="U30" t="s">
        <v>182</v>
      </c>
      <c r="V30">
        <v>58.38</v>
      </c>
      <c r="W30">
        <v>2</v>
      </c>
      <c r="X30">
        <v>0</v>
      </c>
      <c r="Y30">
        <v>99000</v>
      </c>
      <c r="Z30">
        <v>210</v>
      </c>
      <c r="AA30">
        <v>1974</v>
      </c>
      <c r="AB30">
        <v>3534.3</v>
      </c>
      <c r="AC30">
        <v>3.57</v>
      </c>
      <c r="AD30">
        <v>6435</v>
      </c>
      <c r="AE30">
        <v>6.5</v>
      </c>
      <c r="AF30">
        <v>1485</v>
      </c>
      <c r="AG30">
        <v>1.5</v>
      </c>
      <c r="AH30">
        <v>495</v>
      </c>
      <c r="AI30">
        <v>0.5</v>
      </c>
      <c r="AJ30">
        <v>0</v>
      </c>
      <c r="AK30">
        <v>410.52468872070301</v>
      </c>
      <c r="AL30" s="18">
        <v>-45.771766385654303</v>
      </c>
      <c r="AM30" s="14">
        <v>4.4401328035854531E-2</v>
      </c>
      <c r="AN30" s="14">
        <v>2.4869135656091893E-2</v>
      </c>
      <c r="AO30" s="14">
        <v>0.12434567828045946</v>
      </c>
    </row>
    <row r="31" spans="1:41" x14ac:dyDescent="0.25">
      <c r="A31">
        <v>29</v>
      </c>
      <c r="B31">
        <v>118927284</v>
      </c>
      <c r="C31">
        <v>2020</v>
      </c>
      <c r="D31">
        <v>5</v>
      </c>
      <c r="E31">
        <v>31</v>
      </c>
      <c r="F31" t="s">
        <v>371</v>
      </c>
      <c r="G31" s="1" t="s">
        <v>372</v>
      </c>
      <c r="H31" t="s">
        <v>68</v>
      </c>
      <c r="I31">
        <v>44359</v>
      </c>
      <c r="J31" t="s">
        <v>45</v>
      </c>
      <c r="L31">
        <v>0</v>
      </c>
      <c r="M31">
        <v>0</v>
      </c>
      <c r="N31" t="s">
        <v>272</v>
      </c>
      <c r="O31" t="s">
        <v>181</v>
      </c>
      <c r="P31" t="s">
        <v>182</v>
      </c>
      <c r="Q31" t="s">
        <v>221</v>
      </c>
      <c r="R31" t="s">
        <v>181</v>
      </c>
      <c r="S31" t="s">
        <v>182</v>
      </c>
      <c r="T31" t="s">
        <v>182</v>
      </c>
      <c r="U31" t="s">
        <v>182</v>
      </c>
      <c r="V31">
        <v>65</v>
      </c>
      <c r="W31">
        <v>3</v>
      </c>
      <c r="X31">
        <v>0</v>
      </c>
      <c r="Y31">
        <v>89000</v>
      </c>
      <c r="Z31">
        <v>0</v>
      </c>
      <c r="AA31">
        <v>1975</v>
      </c>
      <c r="AB31">
        <v>4236.3999999999996</v>
      </c>
      <c r="AC31">
        <v>4.76</v>
      </c>
      <c r="AD31">
        <v>5785</v>
      </c>
      <c r="AE31">
        <v>6.5</v>
      </c>
      <c r="AF31">
        <v>1335</v>
      </c>
      <c r="AG31">
        <v>1.5</v>
      </c>
      <c r="AH31">
        <v>445</v>
      </c>
      <c r="AI31">
        <v>0.5</v>
      </c>
      <c r="AJ31">
        <v>420</v>
      </c>
      <c r="AK31">
        <v>489.302642822265</v>
      </c>
      <c r="AL31" s="18">
        <v>-8.1698384621191451</v>
      </c>
      <c r="AM31" s="14">
        <v>4.9999305565200484E-2</v>
      </c>
      <c r="AN31" s="14">
        <v>3.3138013400607534E-2</v>
      </c>
      <c r="AO31" s="14">
        <v>0.16569006700303765</v>
      </c>
    </row>
    <row r="32" spans="1:41" x14ac:dyDescent="0.25">
      <c r="A32">
        <v>30</v>
      </c>
      <c r="B32">
        <v>118927820</v>
      </c>
      <c r="C32">
        <v>2020</v>
      </c>
      <c r="D32">
        <v>5</v>
      </c>
      <c r="E32">
        <v>31</v>
      </c>
      <c r="F32" t="s">
        <v>353</v>
      </c>
      <c r="G32" s="1" t="s">
        <v>373</v>
      </c>
      <c r="H32" t="s">
        <v>68</v>
      </c>
      <c r="I32">
        <v>44357</v>
      </c>
      <c r="J32" t="s">
        <v>60</v>
      </c>
      <c r="L32">
        <v>0</v>
      </c>
      <c r="M32">
        <v>0</v>
      </c>
      <c r="N32" t="s">
        <v>354</v>
      </c>
      <c r="O32" t="s">
        <v>182</v>
      </c>
      <c r="P32" t="s">
        <v>181</v>
      </c>
      <c r="R32" t="s">
        <v>181</v>
      </c>
      <c r="S32" t="s">
        <v>182</v>
      </c>
      <c r="T32" t="s">
        <v>182</v>
      </c>
      <c r="U32" t="s">
        <v>182</v>
      </c>
      <c r="V32">
        <v>125</v>
      </c>
      <c r="W32">
        <v>6</v>
      </c>
      <c r="X32">
        <v>0</v>
      </c>
      <c r="Y32">
        <v>130000</v>
      </c>
      <c r="Z32">
        <v>450</v>
      </c>
      <c r="AA32">
        <v>1930</v>
      </c>
      <c r="AB32">
        <v>7735</v>
      </c>
      <c r="AC32">
        <v>5.95</v>
      </c>
      <c r="AD32">
        <v>8450</v>
      </c>
      <c r="AE32">
        <v>6.5</v>
      </c>
      <c r="AF32">
        <v>1950</v>
      </c>
      <c r="AG32">
        <v>1.5</v>
      </c>
      <c r="AH32">
        <v>650</v>
      </c>
      <c r="AI32">
        <v>0.5</v>
      </c>
      <c r="AJ32">
        <v>0</v>
      </c>
      <c r="AK32">
        <v>1046.22888183593</v>
      </c>
      <c r="AL32" s="18">
        <v>145.76116968441406</v>
      </c>
      <c r="AM32" s="14">
        <v>8.438180315240891E-2</v>
      </c>
      <c r="AN32" s="14">
        <v>5.7380113465948582E-2</v>
      </c>
      <c r="AO32" s="14">
        <v>0.28690056732974289</v>
      </c>
    </row>
    <row r="33" spans="1:41" x14ac:dyDescent="0.25">
      <c r="A33">
        <v>31</v>
      </c>
      <c r="B33">
        <v>110504290</v>
      </c>
      <c r="C33">
        <v>2020</v>
      </c>
      <c r="D33">
        <v>5</v>
      </c>
      <c r="E33">
        <v>31</v>
      </c>
      <c r="F33" t="s">
        <v>187</v>
      </c>
      <c r="G33" t="s">
        <v>188</v>
      </c>
      <c r="H33" t="s">
        <v>68</v>
      </c>
      <c r="I33">
        <v>44369</v>
      </c>
      <c r="J33" t="s">
        <v>51</v>
      </c>
      <c r="L33">
        <v>0</v>
      </c>
      <c r="M33">
        <v>0</v>
      </c>
      <c r="N33" t="s">
        <v>189</v>
      </c>
      <c r="O33" t="s">
        <v>181</v>
      </c>
      <c r="P33" t="s">
        <v>182</v>
      </c>
      <c r="R33" t="s">
        <v>181</v>
      </c>
      <c r="S33" t="s">
        <v>181</v>
      </c>
      <c r="T33" t="s">
        <v>182</v>
      </c>
      <c r="U33" t="s">
        <v>182</v>
      </c>
      <c r="V33">
        <v>69</v>
      </c>
      <c r="W33">
        <v>3</v>
      </c>
      <c r="X33">
        <v>0</v>
      </c>
      <c r="Y33">
        <v>108900</v>
      </c>
      <c r="Z33">
        <v>0</v>
      </c>
      <c r="AA33">
        <v>1968</v>
      </c>
      <c r="AB33">
        <v>0</v>
      </c>
      <c r="AC33">
        <v>0</v>
      </c>
      <c r="AD33">
        <v>7078.5</v>
      </c>
      <c r="AE33">
        <v>6.5</v>
      </c>
      <c r="AF33">
        <v>1633.5</v>
      </c>
      <c r="AG33">
        <v>1.5</v>
      </c>
      <c r="AH33">
        <v>544.5</v>
      </c>
      <c r="AI33">
        <v>0.5</v>
      </c>
      <c r="AJ33">
        <v>0</v>
      </c>
      <c r="AK33">
        <v>489.302642822265</v>
      </c>
      <c r="AL33" s="18">
        <v>0.77035124269745126</v>
      </c>
      <c r="AM33" s="14">
        <v>4.9693683494917165E-2</v>
      </c>
      <c r="AN33" s="14">
        <v>3.4274965438779753E-2</v>
      </c>
      <c r="AO33" s="14">
        <v>0.17137482719389874</v>
      </c>
    </row>
    <row r="34" spans="1:41" x14ac:dyDescent="0.25">
      <c r="A34">
        <v>32</v>
      </c>
      <c r="B34">
        <v>117998397</v>
      </c>
      <c r="C34">
        <v>2020</v>
      </c>
      <c r="D34">
        <v>5</v>
      </c>
      <c r="E34">
        <v>31</v>
      </c>
      <c r="F34" t="s">
        <v>322</v>
      </c>
      <c r="G34" t="s">
        <v>323</v>
      </c>
      <c r="H34" t="s">
        <v>68</v>
      </c>
      <c r="I34">
        <v>44388</v>
      </c>
      <c r="J34" t="s">
        <v>41</v>
      </c>
      <c r="L34">
        <v>0</v>
      </c>
      <c r="M34">
        <v>0</v>
      </c>
      <c r="N34" t="s">
        <v>324</v>
      </c>
      <c r="O34" t="s">
        <v>182</v>
      </c>
      <c r="P34" t="s">
        <v>182</v>
      </c>
      <c r="Q34" t="s">
        <v>194</v>
      </c>
      <c r="R34" t="s">
        <v>182</v>
      </c>
      <c r="S34" t="s">
        <v>182</v>
      </c>
      <c r="T34" t="s">
        <v>182</v>
      </c>
      <c r="U34" t="s">
        <v>182</v>
      </c>
      <c r="V34">
        <v>115</v>
      </c>
      <c r="W34">
        <v>4</v>
      </c>
      <c r="X34">
        <v>0</v>
      </c>
      <c r="Y34">
        <v>145000</v>
      </c>
      <c r="Z34">
        <v>561</v>
      </c>
      <c r="AA34">
        <v>1910</v>
      </c>
      <c r="AB34">
        <v>6902</v>
      </c>
      <c r="AC34">
        <v>4.76</v>
      </c>
      <c r="AD34">
        <v>9425</v>
      </c>
      <c r="AE34">
        <v>6.5</v>
      </c>
      <c r="AF34">
        <v>2175</v>
      </c>
      <c r="AG34">
        <v>1.5</v>
      </c>
      <c r="AH34">
        <v>725</v>
      </c>
      <c r="AI34">
        <v>0.5</v>
      </c>
      <c r="AJ34">
        <v>0</v>
      </c>
      <c r="AK34">
        <v>961.34942626953102</v>
      </c>
      <c r="AL34" s="18">
        <v>42.167565366809313</v>
      </c>
      <c r="AM34" s="14">
        <v>7.0245411017886047E-2</v>
      </c>
      <c r="AN34" s="14">
        <v>4.0659788190945297E-2</v>
      </c>
      <c r="AO34" s="14">
        <v>0.20329894095472648</v>
      </c>
    </row>
    <row r="35" spans="1:41" x14ac:dyDescent="0.25">
      <c r="A35">
        <v>33</v>
      </c>
      <c r="B35">
        <v>116605379</v>
      </c>
      <c r="C35">
        <v>2020</v>
      </c>
      <c r="D35">
        <v>5</v>
      </c>
      <c r="E35">
        <v>31</v>
      </c>
      <c r="F35" t="s">
        <v>273</v>
      </c>
      <c r="G35" t="s">
        <v>274</v>
      </c>
      <c r="H35" t="s">
        <v>68</v>
      </c>
      <c r="I35">
        <v>44225</v>
      </c>
      <c r="J35" t="s">
        <v>31</v>
      </c>
      <c r="K35" t="s">
        <v>224</v>
      </c>
      <c r="L35">
        <v>51.473140000000001</v>
      </c>
      <c r="M35">
        <v>7.4491300000000003</v>
      </c>
      <c r="N35" t="s">
        <v>214</v>
      </c>
      <c r="O35" t="s">
        <v>181</v>
      </c>
      <c r="P35" t="s">
        <v>182</v>
      </c>
      <c r="Q35" t="s">
        <v>225</v>
      </c>
      <c r="R35" t="s">
        <v>182</v>
      </c>
      <c r="S35" t="s">
        <v>182</v>
      </c>
      <c r="T35" t="s">
        <v>182</v>
      </c>
      <c r="U35" t="s">
        <v>182</v>
      </c>
      <c r="V35">
        <v>76.95</v>
      </c>
      <c r="W35">
        <v>3.5</v>
      </c>
      <c r="X35">
        <v>0</v>
      </c>
      <c r="Y35">
        <v>127700</v>
      </c>
      <c r="Z35">
        <v>0</v>
      </c>
      <c r="AA35">
        <v>1970</v>
      </c>
      <c r="AB35">
        <v>0</v>
      </c>
      <c r="AC35">
        <v>0</v>
      </c>
      <c r="AD35">
        <v>8300.5</v>
      </c>
      <c r="AE35">
        <v>6.5</v>
      </c>
      <c r="AF35">
        <v>1915.5</v>
      </c>
      <c r="AG35">
        <v>1.5</v>
      </c>
      <c r="AH35">
        <v>638.5</v>
      </c>
      <c r="AI35">
        <v>0.5</v>
      </c>
      <c r="AJ35">
        <v>500</v>
      </c>
      <c r="AK35">
        <v>574.52478027343705</v>
      </c>
      <c r="AL35" s="18">
        <v>-30.677352752042104</v>
      </c>
      <c r="AM35" s="14">
        <v>4.33042593347744E-2</v>
      </c>
      <c r="AN35" s="14">
        <v>2.9119056544536628E-2</v>
      </c>
      <c r="AO35" s="14">
        <v>0.14559528272268313</v>
      </c>
    </row>
    <row r="36" spans="1:41" x14ac:dyDescent="0.25">
      <c r="A36">
        <v>34</v>
      </c>
      <c r="B36">
        <v>116762007</v>
      </c>
      <c r="C36">
        <v>2020</v>
      </c>
      <c r="D36">
        <v>5</v>
      </c>
      <c r="E36">
        <v>31</v>
      </c>
      <c r="F36" t="s">
        <v>278</v>
      </c>
      <c r="G36" t="s">
        <v>279</v>
      </c>
      <c r="H36" t="s">
        <v>68</v>
      </c>
      <c r="I36">
        <v>44145</v>
      </c>
      <c r="J36" t="s">
        <v>26</v>
      </c>
      <c r="L36">
        <v>0</v>
      </c>
      <c r="M36">
        <v>0</v>
      </c>
      <c r="N36" t="s">
        <v>258</v>
      </c>
      <c r="O36" t="s">
        <v>182</v>
      </c>
      <c r="P36" t="s">
        <v>182</v>
      </c>
      <c r="Q36" t="s">
        <v>225</v>
      </c>
      <c r="R36" t="s">
        <v>181</v>
      </c>
      <c r="S36" t="s">
        <v>182</v>
      </c>
      <c r="T36" t="s">
        <v>182</v>
      </c>
      <c r="U36" t="s">
        <v>182</v>
      </c>
      <c r="V36">
        <v>52.61</v>
      </c>
      <c r="W36">
        <v>2</v>
      </c>
      <c r="X36">
        <v>0</v>
      </c>
      <c r="Y36">
        <v>35000</v>
      </c>
      <c r="Z36">
        <v>0</v>
      </c>
      <c r="AA36">
        <v>1903</v>
      </c>
      <c r="AB36">
        <v>0</v>
      </c>
      <c r="AC36">
        <v>0</v>
      </c>
      <c r="AD36">
        <v>0</v>
      </c>
      <c r="AE36">
        <v>0</v>
      </c>
      <c r="AF36">
        <v>0</v>
      </c>
      <c r="AG36">
        <v>0</v>
      </c>
      <c r="AH36">
        <v>0</v>
      </c>
      <c r="AI36">
        <v>0</v>
      </c>
      <c r="AJ36">
        <v>230</v>
      </c>
      <c r="AK36">
        <v>366.57601928710898</v>
      </c>
      <c r="AL36" s="18">
        <v>-1.9815744441463039</v>
      </c>
      <c r="AM36" s="14">
        <v>7.8857142857142862E-2</v>
      </c>
      <c r="AN36" s="14">
        <v>4.3531428571428568E-2</v>
      </c>
      <c r="AO36" s="14">
        <v>0.21765714285714285</v>
      </c>
    </row>
    <row r="37" spans="1:41" x14ac:dyDescent="0.25">
      <c r="A37">
        <v>35</v>
      </c>
      <c r="B37">
        <v>116887431</v>
      </c>
      <c r="C37">
        <v>2020</v>
      </c>
      <c r="D37">
        <v>5</v>
      </c>
      <c r="E37">
        <v>31</v>
      </c>
      <c r="F37" t="s">
        <v>280</v>
      </c>
      <c r="G37" t="s">
        <v>281</v>
      </c>
      <c r="H37" t="s">
        <v>68</v>
      </c>
      <c r="I37">
        <v>44289</v>
      </c>
      <c r="J37" t="s">
        <v>55</v>
      </c>
      <c r="L37">
        <v>0</v>
      </c>
      <c r="M37">
        <v>0</v>
      </c>
      <c r="N37" t="s">
        <v>282</v>
      </c>
      <c r="O37" t="s">
        <v>182</v>
      </c>
      <c r="P37" t="s">
        <v>182</v>
      </c>
      <c r="R37" t="s">
        <v>181</v>
      </c>
      <c r="S37" t="s">
        <v>182</v>
      </c>
      <c r="T37" t="s">
        <v>182</v>
      </c>
      <c r="U37" t="s">
        <v>182</v>
      </c>
      <c r="V37">
        <v>46.95</v>
      </c>
      <c r="W37">
        <v>2</v>
      </c>
      <c r="X37">
        <v>0</v>
      </c>
      <c r="Y37">
        <v>94900</v>
      </c>
      <c r="Z37">
        <v>155</v>
      </c>
      <c r="AA37">
        <v>1960</v>
      </c>
      <c r="AB37">
        <v>4517.24</v>
      </c>
      <c r="AC37">
        <v>4.76</v>
      </c>
      <c r="AD37">
        <v>6168.5</v>
      </c>
      <c r="AE37">
        <v>6.5</v>
      </c>
      <c r="AF37">
        <v>1423.5</v>
      </c>
      <c r="AG37">
        <v>1.5</v>
      </c>
      <c r="AH37">
        <v>474.5</v>
      </c>
      <c r="AI37">
        <v>0.5</v>
      </c>
      <c r="AJ37">
        <v>0</v>
      </c>
      <c r="AK37">
        <v>336.840240478515</v>
      </c>
      <c r="AL37" s="18">
        <v>-59.1109243885399</v>
      </c>
      <c r="AM37" s="14">
        <v>3.7606459225759913E-2</v>
      </c>
      <c r="AN37" s="14">
        <v>2.1048740545706539E-2</v>
      </c>
      <c r="AO37" s="14">
        <v>0.10524370272853269</v>
      </c>
    </row>
    <row r="38" spans="1:41" x14ac:dyDescent="0.25">
      <c r="A38">
        <v>36</v>
      </c>
      <c r="B38">
        <v>116924998</v>
      </c>
      <c r="C38">
        <v>2020</v>
      </c>
      <c r="D38">
        <v>5</v>
      </c>
      <c r="E38">
        <v>31</v>
      </c>
      <c r="F38" t="s">
        <v>283</v>
      </c>
      <c r="G38" t="s">
        <v>284</v>
      </c>
      <c r="H38" t="s">
        <v>68</v>
      </c>
      <c r="I38">
        <v>44147</v>
      </c>
      <c r="J38" t="s">
        <v>26</v>
      </c>
      <c r="L38">
        <v>0</v>
      </c>
      <c r="M38">
        <v>0</v>
      </c>
      <c r="N38" t="s">
        <v>272</v>
      </c>
      <c r="O38" t="s">
        <v>182</v>
      </c>
      <c r="P38" t="s">
        <v>182</v>
      </c>
      <c r="R38" t="s">
        <v>181</v>
      </c>
      <c r="S38" t="s">
        <v>182</v>
      </c>
      <c r="T38" t="s">
        <v>182</v>
      </c>
      <c r="U38" t="s">
        <v>182</v>
      </c>
      <c r="V38">
        <v>42.97</v>
      </c>
      <c r="W38">
        <v>2</v>
      </c>
      <c r="X38">
        <v>0</v>
      </c>
      <c r="Y38">
        <v>70000</v>
      </c>
      <c r="Z38">
        <v>0</v>
      </c>
      <c r="AA38">
        <v>1900</v>
      </c>
      <c r="AB38">
        <v>3570</v>
      </c>
      <c r="AC38">
        <v>5.0999999999999996</v>
      </c>
      <c r="AD38">
        <v>4550</v>
      </c>
      <c r="AE38">
        <v>6.5</v>
      </c>
      <c r="AF38">
        <v>1050</v>
      </c>
      <c r="AG38">
        <v>1.5</v>
      </c>
      <c r="AH38">
        <v>350</v>
      </c>
      <c r="AI38">
        <v>0.5</v>
      </c>
      <c r="AJ38">
        <v>270</v>
      </c>
      <c r="AK38">
        <v>336.840240478515</v>
      </c>
      <c r="AL38" s="18">
        <v>-47.63077713710048</v>
      </c>
      <c r="AM38" s="14">
        <v>4.0744466800804832E-2</v>
      </c>
      <c r="AN38" s="14">
        <v>2.125476861167002E-2</v>
      </c>
      <c r="AO38" s="14">
        <v>0.10627384305835011</v>
      </c>
    </row>
    <row r="39" spans="1:41" x14ac:dyDescent="0.25">
      <c r="A39">
        <v>37</v>
      </c>
      <c r="B39">
        <v>116925197</v>
      </c>
      <c r="C39">
        <v>2020</v>
      </c>
      <c r="D39">
        <v>5</v>
      </c>
      <c r="E39">
        <v>31</v>
      </c>
      <c r="F39" t="s">
        <v>285</v>
      </c>
      <c r="G39" t="s">
        <v>286</v>
      </c>
      <c r="H39" t="s">
        <v>68</v>
      </c>
      <c r="I39">
        <v>44388</v>
      </c>
      <c r="J39" t="s">
        <v>41</v>
      </c>
      <c r="L39">
        <v>0</v>
      </c>
      <c r="M39">
        <v>0</v>
      </c>
      <c r="N39" t="s">
        <v>287</v>
      </c>
      <c r="O39" t="s">
        <v>181</v>
      </c>
      <c r="P39" t="s">
        <v>182</v>
      </c>
      <c r="R39" t="s">
        <v>181</v>
      </c>
      <c r="S39" t="s">
        <v>182</v>
      </c>
      <c r="T39" t="s">
        <v>182</v>
      </c>
      <c r="U39" t="s">
        <v>182</v>
      </c>
      <c r="V39">
        <v>80</v>
      </c>
      <c r="W39">
        <v>4.5</v>
      </c>
      <c r="X39">
        <v>0</v>
      </c>
      <c r="Y39">
        <v>104000</v>
      </c>
      <c r="Z39">
        <v>0</v>
      </c>
      <c r="AA39">
        <v>1901</v>
      </c>
      <c r="AB39">
        <v>4950.3999999999996</v>
      </c>
      <c r="AC39">
        <v>4.76</v>
      </c>
      <c r="AD39">
        <v>6760</v>
      </c>
      <c r="AE39">
        <v>6.5</v>
      </c>
      <c r="AF39">
        <v>1560</v>
      </c>
      <c r="AG39">
        <v>1.5</v>
      </c>
      <c r="AH39">
        <v>520</v>
      </c>
      <c r="AI39">
        <v>0.5</v>
      </c>
      <c r="AJ39">
        <v>0</v>
      </c>
      <c r="AK39">
        <v>656.76446533203102</v>
      </c>
      <c r="AL39" s="18">
        <v>91.326102541949837</v>
      </c>
      <c r="AM39" s="14">
        <v>6.690845420326591E-2</v>
      </c>
      <c r="AN39" s="14">
        <v>5.1463694562412322E-2</v>
      </c>
      <c r="AO39" s="14">
        <v>0.25731847281206155</v>
      </c>
    </row>
    <row r="40" spans="1:41" x14ac:dyDescent="0.25">
      <c r="A40">
        <v>38</v>
      </c>
      <c r="B40">
        <v>117041023</v>
      </c>
      <c r="C40">
        <v>2020</v>
      </c>
      <c r="D40">
        <v>5</v>
      </c>
      <c r="E40">
        <v>31</v>
      </c>
      <c r="F40" t="s">
        <v>293</v>
      </c>
      <c r="G40" t="s">
        <v>294</v>
      </c>
      <c r="H40" t="s">
        <v>68</v>
      </c>
      <c r="I40">
        <v>44388</v>
      </c>
      <c r="J40" t="s">
        <v>20</v>
      </c>
      <c r="K40" t="s">
        <v>295</v>
      </c>
      <c r="L40">
        <v>51.504449999999999</v>
      </c>
      <c r="M40">
        <v>7.3111300000000004</v>
      </c>
      <c r="N40" t="s">
        <v>242</v>
      </c>
      <c r="O40" t="s">
        <v>182</v>
      </c>
      <c r="P40" t="s">
        <v>182</v>
      </c>
      <c r="Q40" t="s">
        <v>221</v>
      </c>
      <c r="R40" t="s">
        <v>181</v>
      </c>
      <c r="S40" t="s">
        <v>182</v>
      </c>
      <c r="T40" t="s">
        <v>182</v>
      </c>
      <c r="U40" t="s">
        <v>182</v>
      </c>
      <c r="V40">
        <v>54.55</v>
      </c>
      <c r="W40">
        <v>3.5</v>
      </c>
      <c r="X40">
        <v>0</v>
      </c>
      <c r="Y40">
        <v>83500</v>
      </c>
      <c r="Z40">
        <v>226</v>
      </c>
      <c r="AA40">
        <v>1958</v>
      </c>
      <c r="AB40">
        <v>0</v>
      </c>
      <c r="AC40">
        <v>0</v>
      </c>
      <c r="AD40">
        <v>5427.5</v>
      </c>
      <c r="AE40">
        <v>6.5</v>
      </c>
      <c r="AF40">
        <v>1252.5</v>
      </c>
      <c r="AG40">
        <v>1.5</v>
      </c>
      <c r="AH40">
        <v>417.5</v>
      </c>
      <c r="AI40">
        <v>0.5</v>
      </c>
      <c r="AJ40">
        <v>350.76</v>
      </c>
      <c r="AK40">
        <v>366.57601928710898</v>
      </c>
      <c r="AL40" s="18">
        <v>-49.44447544867279</v>
      </c>
      <c r="AM40" s="14">
        <v>4.6459560142388036E-2</v>
      </c>
      <c r="AN40" s="14">
        <v>2.2955529677971247E-2</v>
      </c>
      <c r="AO40" s="14">
        <v>0.11477764838985624</v>
      </c>
    </row>
    <row r="41" spans="1:41" x14ac:dyDescent="0.25">
      <c r="A41">
        <v>39</v>
      </c>
      <c r="B41">
        <v>116994829</v>
      </c>
      <c r="C41">
        <v>2020</v>
      </c>
      <c r="D41">
        <v>5</v>
      </c>
      <c r="E41">
        <v>31</v>
      </c>
      <c r="F41" t="s">
        <v>288</v>
      </c>
      <c r="G41" t="s">
        <v>289</v>
      </c>
      <c r="H41" t="s">
        <v>68</v>
      </c>
      <c r="I41">
        <v>44145</v>
      </c>
      <c r="J41" t="s">
        <v>26</v>
      </c>
      <c r="L41">
        <v>0</v>
      </c>
      <c r="M41">
        <v>0</v>
      </c>
      <c r="N41" t="s">
        <v>272</v>
      </c>
      <c r="O41" t="s">
        <v>182</v>
      </c>
      <c r="P41" t="s">
        <v>182</v>
      </c>
      <c r="Q41" t="s">
        <v>225</v>
      </c>
      <c r="R41" t="s">
        <v>181</v>
      </c>
      <c r="S41" t="s">
        <v>182</v>
      </c>
      <c r="T41" t="s">
        <v>182</v>
      </c>
      <c r="U41" t="s">
        <v>182</v>
      </c>
      <c r="V41">
        <v>70.38</v>
      </c>
      <c r="W41">
        <v>3</v>
      </c>
      <c r="X41">
        <v>0</v>
      </c>
      <c r="Y41">
        <v>79000</v>
      </c>
      <c r="Z41">
        <v>0</v>
      </c>
      <c r="AA41">
        <v>1960</v>
      </c>
      <c r="AB41">
        <v>3160</v>
      </c>
      <c r="AC41">
        <v>4</v>
      </c>
      <c r="AD41">
        <v>5135</v>
      </c>
      <c r="AE41">
        <v>6.5</v>
      </c>
      <c r="AF41">
        <v>1185</v>
      </c>
      <c r="AG41">
        <v>1.5</v>
      </c>
      <c r="AH41">
        <v>395</v>
      </c>
      <c r="AI41">
        <v>0.5</v>
      </c>
      <c r="AJ41">
        <v>0</v>
      </c>
      <c r="AK41">
        <v>468.77865600585898</v>
      </c>
      <c r="AL41" s="18">
        <v>36.571978816953731</v>
      </c>
      <c r="AM41" s="14">
        <v>6.3295008405854378E-2</v>
      </c>
      <c r="AN41" s="14">
        <v>4.5115767899525261E-2</v>
      </c>
      <c r="AO41" s="14">
        <v>0.2255788394976263</v>
      </c>
    </row>
    <row r="42" spans="1:41" x14ac:dyDescent="0.25">
      <c r="A42">
        <v>40</v>
      </c>
      <c r="B42">
        <v>117211985</v>
      </c>
      <c r="C42">
        <v>2020</v>
      </c>
      <c r="D42">
        <v>5</v>
      </c>
      <c r="E42">
        <v>31</v>
      </c>
      <c r="F42" t="s">
        <v>302</v>
      </c>
      <c r="G42" t="s">
        <v>303</v>
      </c>
      <c r="H42" t="s">
        <v>68</v>
      </c>
      <c r="I42">
        <v>44379</v>
      </c>
      <c r="J42" t="s">
        <v>30</v>
      </c>
      <c r="L42">
        <v>0</v>
      </c>
      <c r="M42">
        <v>0</v>
      </c>
      <c r="N42" t="s">
        <v>272</v>
      </c>
      <c r="O42" t="s">
        <v>181</v>
      </c>
      <c r="P42" t="s">
        <v>181</v>
      </c>
      <c r="R42" t="s">
        <v>181</v>
      </c>
      <c r="S42" t="s">
        <v>182</v>
      </c>
      <c r="T42" t="s">
        <v>182</v>
      </c>
      <c r="U42" t="s">
        <v>182</v>
      </c>
      <c r="V42">
        <v>74.209999999999994</v>
      </c>
      <c r="W42">
        <v>3</v>
      </c>
      <c r="X42">
        <v>0</v>
      </c>
      <c r="Y42">
        <v>99000</v>
      </c>
      <c r="Z42">
        <v>0</v>
      </c>
      <c r="AA42">
        <v>1912</v>
      </c>
      <c r="AB42">
        <v>4950</v>
      </c>
      <c r="AC42">
        <v>5</v>
      </c>
      <c r="AD42">
        <v>6435</v>
      </c>
      <c r="AE42">
        <v>6.5</v>
      </c>
      <c r="AF42">
        <v>1485</v>
      </c>
      <c r="AG42">
        <v>1.5</v>
      </c>
      <c r="AH42">
        <v>495</v>
      </c>
      <c r="AI42">
        <v>0.5</v>
      </c>
      <c r="AJ42">
        <v>0</v>
      </c>
      <c r="AK42">
        <v>549.36767578125</v>
      </c>
      <c r="AL42" s="18">
        <v>41.933834840555313</v>
      </c>
      <c r="AM42" s="14">
        <v>5.866962229675611E-2</v>
      </c>
      <c r="AN42" s="14">
        <v>4.2819049609531437E-2</v>
      </c>
      <c r="AO42" s="14">
        <v>0.21409524804765717</v>
      </c>
    </row>
    <row r="43" spans="1:41" x14ac:dyDescent="0.25">
      <c r="A43">
        <v>41</v>
      </c>
      <c r="B43">
        <v>116056774</v>
      </c>
      <c r="C43">
        <v>2020</v>
      </c>
      <c r="D43">
        <v>5</v>
      </c>
      <c r="E43">
        <v>31</v>
      </c>
      <c r="F43" t="s">
        <v>270</v>
      </c>
      <c r="G43" t="s">
        <v>271</v>
      </c>
      <c r="H43" t="s">
        <v>68</v>
      </c>
      <c r="I43">
        <v>44339</v>
      </c>
      <c r="J43" t="s">
        <v>18</v>
      </c>
      <c r="L43">
        <v>0</v>
      </c>
      <c r="M43">
        <v>0</v>
      </c>
      <c r="N43" t="s">
        <v>272</v>
      </c>
      <c r="O43" t="s">
        <v>181</v>
      </c>
      <c r="P43" t="s">
        <v>181</v>
      </c>
      <c r="R43" t="s">
        <v>181</v>
      </c>
      <c r="S43" t="s">
        <v>182</v>
      </c>
      <c r="T43" t="s">
        <v>182</v>
      </c>
      <c r="U43" t="s">
        <v>182</v>
      </c>
      <c r="V43">
        <v>72.16</v>
      </c>
      <c r="W43">
        <v>3</v>
      </c>
      <c r="X43">
        <v>0</v>
      </c>
      <c r="Y43">
        <v>140000</v>
      </c>
      <c r="Z43">
        <v>0</v>
      </c>
      <c r="AA43">
        <v>1969</v>
      </c>
      <c r="AB43">
        <v>5600</v>
      </c>
      <c r="AC43">
        <v>4</v>
      </c>
      <c r="AD43">
        <v>9100</v>
      </c>
      <c r="AE43">
        <v>6.5</v>
      </c>
      <c r="AF43">
        <v>2100</v>
      </c>
      <c r="AG43">
        <v>1.5</v>
      </c>
      <c r="AH43">
        <v>700</v>
      </c>
      <c r="AI43">
        <v>0.5</v>
      </c>
      <c r="AJ43">
        <v>0</v>
      </c>
      <c r="AK43">
        <v>549.36767578125</v>
      </c>
      <c r="AL43" s="18">
        <v>-31.322509803345923</v>
      </c>
      <c r="AM43" s="14">
        <v>4.1856584821428573E-2</v>
      </c>
      <c r="AN43" s="14">
        <v>2.8530870535714289E-2</v>
      </c>
      <c r="AO43" s="14">
        <v>0.14265435267857146</v>
      </c>
    </row>
    <row r="44" spans="1:41" x14ac:dyDescent="0.25">
      <c r="A44">
        <v>42</v>
      </c>
      <c r="B44">
        <v>114953439</v>
      </c>
      <c r="C44">
        <v>2020</v>
      </c>
      <c r="D44">
        <v>5</v>
      </c>
      <c r="E44">
        <v>31</v>
      </c>
      <c r="F44" t="s">
        <v>236</v>
      </c>
      <c r="G44" t="s">
        <v>237</v>
      </c>
      <c r="H44" t="s">
        <v>68</v>
      </c>
      <c r="I44">
        <v>44143</v>
      </c>
      <c r="J44" t="s">
        <v>33</v>
      </c>
      <c r="L44">
        <v>0</v>
      </c>
      <c r="M44">
        <v>0</v>
      </c>
      <c r="N44" t="s">
        <v>238</v>
      </c>
      <c r="O44" t="s">
        <v>181</v>
      </c>
      <c r="P44" t="s">
        <v>182</v>
      </c>
      <c r="R44" t="s">
        <v>181</v>
      </c>
      <c r="S44" t="s">
        <v>182</v>
      </c>
      <c r="T44" t="s">
        <v>182</v>
      </c>
      <c r="U44" t="s">
        <v>182</v>
      </c>
      <c r="V44">
        <v>60.1</v>
      </c>
      <c r="W44">
        <v>2</v>
      </c>
      <c r="X44">
        <v>0</v>
      </c>
      <c r="Y44">
        <v>68700</v>
      </c>
      <c r="Z44">
        <v>0</v>
      </c>
      <c r="AA44">
        <v>1936</v>
      </c>
      <c r="AB44">
        <v>0</v>
      </c>
      <c r="AC44">
        <v>0</v>
      </c>
      <c r="AD44">
        <v>4465.5</v>
      </c>
      <c r="AE44">
        <v>6.5</v>
      </c>
      <c r="AF44">
        <v>1030.5</v>
      </c>
      <c r="AG44">
        <v>1.5</v>
      </c>
      <c r="AH44">
        <v>343.5</v>
      </c>
      <c r="AI44">
        <v>0.5</v>
      </c>
      <c r="AJ44">
        <v>0</v>
      </c>
      <c r="AK44">
        <v>430.08425903320301</v>
      </c>
      <c r="AL44" s="18">
        <v>43.248954555227286</v>
      </c>
      <c r="AM44" s="14">
        <v>6.9238606489155891E-2</v>
      </c>
      <c r="AN44" s="14">
        <v>4.8917057780082186E-2</v>
      </c>
      <c r="AO44" s="14">
        <v>0.2445852889004109</v>
      </c>
    </row>
    <row r="45" spans="1:41" x14ac:dyDescent="0.25">
      <c r="A45">
        <v>43</v>
      </c>
      <c r="B45">
        <v>115449749</v>
      </c>
      <c r="C45">
        <v>2020</v>
      </c>
      <c r="D45">
        <v>5</v>
      </c>
      <c r="E45">
        <v>31</v>
      </c>
      <c r="F45" t="s">
        <v>243</v>
      </c>
      <c r="G45" t="s">
        <v>244</v>
      </c>
      <c r="H45" t="s">
        <v>68</v>
      </c>
      <c r="I45">
        <v>44379</v>
      </c>
      <c r="J45" t="s">
        <v>42</v>
      </c>
      <c r="K45" t="s">
        <v>245</v>
      </c>
      <c r="L45">
        <v>51.508369999999999</v>
      </c>
      <c r="M45">
        <v>7.37967</v>
      </c>
      <c r="N45" t="s">
        <v>242</v>
      </c>
      <c r="O45" t="s">
        <v>181</v>
      </c>
      <c r="P45" t="s">
        <v>182</v>
      </c>
      <c r="Q45" t="s">
        <v>194</v>
      </c>
      <c r="R45" t="s">
        <v>181</v>
      </c>
      <c r="S45" t="s">
        <v>182</v>
      </c>
      <c r="T45" t="s">
        <v>182</v>
      </c>
      <c r="U45" t="s">
        <v>182</v>
      </c>
      <c r="V45">
        <v>58.76</v>
      </c>
      <c r="W45">
        <v>2.5</v>
      </c>
      <c r="X45">
        <v>0</v>
      </c>
      <c r="Y45">
        <v>98500</v>
      </c>
      <c r="Z45">
        <v>301</v>
      </c>
      <c r="AA45">
        <v>1981</v>
      </c>
      <c r="AB45">
        <v>0</v>
      </c>
      <c r="AC45">
        <v>0</v>
      </c>
      <c r="AD45">
        <v>6402.5</v>
      </c>
      <c r="AE45">
        <v>6.5</v>
      </c>
      <c r="AF45">
        <v>1477.5</v>
      </c>
      <c r="AG45">
        <v>1.5</v>
      </c>
      <c r="AH45">
        <v>492.5</v>
      </c>
      <c r="AI45">
        <v>0.5</v>
      </c>
      <c r="AJ45">
        <v>400.74</v>
      </c>
      <c r="AK45">
        <v>410.52468872070301</v>
      </c>
      <c r="AL45" s="18">
        <v>-73.358107565200839</v>
      </c>
      <c r="AM45" s="14">
        <v>4.4996420968911557E-2</v>
      </c>
      <c r="AN45" s="14">
        <v>1.9367915974642685E-2</v>
      </c>
      <c r="AO45" s="14">
        <v>9.6839579873213413E-2</v>
      </c>
    </row>
    <row r="46" spans="1:41" x14ac:dyDescent="0.25">
      <c r="A46">
        <v>44</v>
      </c>
      <c r="B46">
        <v>114848713</v>
      </c>
      <c r="C46">
        <v>2020</v>
      </c>
      <c r="D46">
        <v>5</v>
      </c>
      <c r="E46">
        <v>31</v>
      </c>
      <c r="F46" t="s">
        <v>226</v>
      </c>
      <c r="G46" t="s">
        <v>227</v>
      </c>
      <c r="H46" t="s">
        <v>68</v>
      </c>
      <c r="I46">
        <v>44225</v>
      </c>
      <c r="J46" t="s">
        <v>31</v>
      </c>
      <c r="K46" t="s">
        <v>224</v>
      </c>
      <c r="L46">
        <v>51.473269999999999</v>
      </c>
      <c r="M46">
        <v>7.4488599999999998</v>
      </c>
      <c r="N46" t="s">
        <v>214</v>
      </c>
      <c r="O46" t="s">
        <v>181</v>
      </c>
      <c r="P46" t="s">
        <v>182</v>
      </c>
      <c r="Q46" t="s">
        <v>225</v>
      </c>
      <c r="R46" t="s">
        <v>182</v>
      </c>
      <c r="S46" t="s">
        <v>182</v>
      </c>
      <c r="T46" t="s">
        <v>182</v>
      </c>
      <c r="U46" t="s">
        <v>182</v>
      </c>
      <c r="V46">
        <v>79.98</v>
      </c>
      <c r="W46">
        <v>3.5</v>
      </c>
      <c r="X46">
        <v>0</v>
      </c>
      <c r="Y46">
        <v>119800</v>
      </c>
      <c r="Z46">
        <v>0</v>
      </c>
      <c r="AA46">
        <v>1970</v>
      </c>
      <c r="AB46">
        <v>0</v>
      </c>
      <c r="AC46">
        <v>0</v>
      </c>
      <c r="AD46">
        <v>7787</v>
      </c>
      <c r="AE46">
        <v>6.5</v>
      </c>
      <c r="AF46">
        <v>1797</v>
      </c>
      <c r="AG46">
        <v>1.5</v>
      </c>
      <c r="AH46">
        <v>599</v>
      </c>
      <c r="AI46">
        <v>0.5</v>
      </c>
      <c r="AJ46">
        <v>462.77</v>
      </c>
      <c r="AK46">
        <v>656.76446533203102</v>
      </c>
      <c r="AL46" s="18">
        <v>-39.30682717067063</v>
      </c>
      <c r="AM46" s="14">
        <v>4.2722817599224513E-2</v>
      </c>
      <c r="AN46" s="14">
        <v>2.8066436995607111E-2</v>
      </c>
      <c r="AO46" s="14">
        <v>0.14033218497803554</v>
      </c>
    </row>
    <row r="47" spans="1:41" x14ac:dyDescent="0.25">
      <c r="A47">
        <v>45</v>
      </c>
      <c r="B47">
        <v>115449747</v>
      </c>
      <c r="C47">
        <v>2020</v>
      </c>
      <c r="D47">
        <v>5</v>
      </c>
      <c r="E47">
        <v>31</v>
      </c>
      <c r="F47" t="s">
        <v>239</v>
      </c>
      <c r="G47" t="s">
        <v>240</v>
      </c>
      <c r="H47" t="s">
        <v>68</v>
      </c>
      <c r="I47">
        <v>44289</v>
      </c>
      <c r="J47" t="s">
        <v>55</v>
      </c>
      <c r="K47" t="s">
        <v>241</v>
      </c>
      <c r="L47">
        <v>51.49783</v>
      </c>
      <c r="M47">
        <v>7.5892999999999997</v>
      </c>
      <c r="N47" t="s">
        <v>242</v>
      </c>
      <c r="O47" t="s">
        <v>181</v>
      </c>
      <c r="P47" t="s">
        <v>182</v>
      </c>
      <c r="Q47" t="s">
        <v>194</v>
      </c>
      <c r="R47" t="s">
        <v>181</v>
      </c>
      <c r="S47" t="s">
        <v>182</v>
      </c>
      <c r="T47" t="s">
        <v>182</v>
      </c>
      <c r="U47" t="s">
        <v>182</v>
      </c>
      <c r="V47">
        <v>45.94</v>
      </c>
      <c r="W47">
        <v>2.5</v>
      </c>
      <c r="X47">
        <v>0</v>
      </c>
      <c r="Y47">
        <v>83500</v>
      </c>
      <c r="Z47">
        <v>178</v>
      </c>
      <c r="AA47">
        <v>1959</v>
      </c>
      <c r="AB47">
        <v>0</v>
      </c>
      <c r="AC47">
        <v>0</v>
      </c>
      <c r="AD47">
        <v>5427.5</v>
      </c>
      <c r="AE47">
        <v>6.5</v>
      </c>
      <c r="AF47">
        <v>1252.5</v>
      </c>
      <c r="AG47">
        <v>1.5</v>
      </c>
      <c r="AH47">
        <v>417.5</v>
      </c>
      <c r="AI47">
        <v>0.5</v>
      </c>
      <c r="AJ47">
        <v>254.05</v>
      </c>
      <c r="AK47">
        <v>380.78890991210898</v>
      </c>
      <c r="AL47" s="18">
        <v>-85.216175448672743</v>
      </c>
      <c r="AM47" s="14">
        <v>3.3649935152736003E-2</v>
      </c>
      <c r="AN47" s="14">
        <v>1.3642689919699774E-2</v>
      </c>
      <c r="AO47" s="14">
        <v>6.8213449598498871E-2</v>
      </c>
    </row>
    <row r="48" spans="1:41" x14ac:dyDescent="0.25">
      <c r="A48">
        <v>46</v>
      </c>
      <c r="B48">
        <v>114848715</v>
      </c>
      <c r="C48">
        <v>2020</v>
      </c>
      <c r="D48">
        <v>5</v>
      </c>
      <c r="E48">
        <v>31</v>
      </c>
      <c r="F48" t="s">
        <v>228</v>
      </c>
      <c r="G48" t="s">
        <v>229</v>
      </c>
      <c r="H48" t="s">
        <v>68</v>
      </c>
      <c r="I48">
        <v>44225</v>
      </c>
      <c r="J48" t="s">
        <v>31</v>
      </c>
      <c r="K48" t="s">
        <v>224</v>
      </c>
      <c r="L48">
        <v>51.473039999999997</v>
      </c>
      <c r="M48">
        <v>7.4485799999999998</v>
      </c>
      <c r="N48" t="s">
        <v>214</v>
      </c>
      <c r="O48" t="s">
        <v>181</v>
      </c>
      <c r="P48" t="s">
        <v>182</v>
      </c>
      <c r="Q48" t="s">
        <v>225</v>
      </c>
      <c r="R48" t="s">
        <v>182</v>
      </c>
      <c r="S48" t="s">
        <v>182</v>
      </c>
      <c r="T48" t="s">
        <v>182</v>
      </c>
      <c r="U48" t="s">
        <v>182</v>
      </c>
      <c r="V48">
        <v>83</v>
      </c>
      <c r="W48">
        <v>3.5</v>
      </c>
      <c r="X48">
        <v>0</v>
      </c>
      <c r="Y48">
        <v>146900</v>
      </c>
      <c r="Z48">
        <v>0</v>
      </c>
      <c r="AA48">
        <v>1970</v>
      </c>
      <c r="AB48">
        <v>0</v>
      </c>
      <c r="AC48">
        <v>0</v>
      </c>
      <c r="AD48">
        <v>9548.5</v>
      </c>
      <c r="AE48">
        <v>6.5</v>
      </c>
      <c r="AF48">
        <v>2203.5</v>
      </c>
      <c r="AG48">
        <v>1.5</v>
      </c>
      <c r="AH48">
        <v>734.5</v>
      </c>
      <c r="AI48">
        <v>0.5</v>
      </c>
      <c r="AJ48">
        <v>463.14</v>
      </c>
      <c r="AK48">
        <v>681.38000488281205</v>
      </c>
      <c r="AL48" s="18">
        <v>-88.997009861197995</v>
      </c>
      <c r="AM48" s="14">
        <v>3.4869201594865312E-2</v>
      </c>
      <c r="AN48" s="14">
        <v>2.1617885078096324E-2</v>
      </c>
      <c r="AO48" s="14">
        <v>0.10808942539048161</v>
      </c>
    </row>
    <row r="49" spans="1:41" x14ac:dyDescent="0.25">
      <c r="A49">
        <v>47</v>
      </c>
      <c r="B49">
        <v>114848743</v>
      </c>
      <c r="C49">
        <v>2020</v>
      </c>
      <c r="D49">
        <v>5</v>
      </c>
      <c r="E49">
        <v>31</v>
      </c>
      <c r="F49" t="s">
        <v>230</v>
      </c>
      <c r="G49" t="s">
        <v>231</v>
      </c>
      <c r="H49" t="s">
        <v>68</v>
      </c>
      <c r="I49">
        <v>44369</v>
      </c>
      <c r="J49" t="s">
        <v>63</v>
      </c>
      <c r="K49" t="s">
        <v>232</v>
      </c>
      <c r="L49">
        <v>51.527050000000003</v>
      </c>
      <c r="M49">
        <v>7.3996899999999997</v>
      </c>
      <c r="N49" t="s">
        <v>214</v>
      </c>
      <c r="O49" t="s">
        <v>181</v>
      </c>
      <c r="P49" t="s">
        <v>182</v>
      </c>
      <c r="R49" t="s">
        <v>182</v>
      </c>
      <c r="S49" t="s">
        <v>182</v>
      </c>
      <c r="T49" t="s">
        <v>182</v>
      </c>
      <c r="U49" t="s">
        <v>182</v>
      </c>
      <c r="V49">
        <v>64.36</v>
      </c>
      <c r="W49">
        <v>3</v>
      </c>
      <c r="X49">
        <v>0</v>
      </c>
      <c r="Y49">
        <v>122000</v>
      </c>
      <c r="Z49">
        <v>299</v>
      </c>
      <c r="AA49">
        <v>1942</v>
      </c>
      <c r="AB49">
        <v>0</v>
      </c>
      <c r="AC49">
        <v>0</v>
      </c>
      <c r="AD49">
        <v>7930</v>
      </c>
      <c r="AE49">
        <v>6.5</v>
      </c>
      <c r="AF49">
        <v>1830</v>
      </c>
      <c r="AG49">
        <v>1.5</v>
      </c>
      <c r="AH49">
        <v>610</v>
      </c>
      <c r="AI49">
        <v>0.5</v>
      </c>
      <c r="AJ49">
        <v>448.59</v>
      </c>
      <c r="AK49">
        <v>456.11666870117102</v>
      </c>
      <c r="AL49" s="18">
        <v>-90.219354547761469</v>
      </c>
      <c r="AM49" s="14">
        <v>4.0666918486061798E-2</v>
      </c>
      <c r="AN49" s="14">
        <v>1.8718706655586614E-2</v>
      </c>
      <c r="AO49" s="14">
        <v>9.3593533277933072E-2</v>
      </c>
    </row>
    <row r="50" spans="1:41" x14ac:dyDescent="0.25">
      <c r="A50">
        <v>48</v>
      </c>
      <c r="B50">
        <v>114849155</v>
      </c>
      <c r="C50">
        <v>2020</v>
      </c>
      <c r="D50">
        <v>5</v>
      </c>
      <c r="E50">
        <v>31</v>
      </c>
      <c r="F50" t="s">
        <v>233</v>
      </c>
      <c r="G50" t="s">
        <v>234</v>
      </c>
      <c r="H50" t="s">
        <v>68</v>
      </c>
      <c r="I50">
        <v>44357</v>
      </c>
      <c r="J50" t="s">
        <v>10</v>
      </c>
      <c r="K50" t="s">
        <v>235</v>
      </c>
      <c r="L50">
        <v>51.558369999999996</v>
      </c>
      <c r="M50">
        <v>7.3633199999999999</v>
      </c>
      <c r="N50" t="s">
        <v>214</v>
      </c>
      <c r="O50" t="s">
        <v>181</v>
      </c>
      <c r="P50" t="s">
        <v>182</v>
      </c>
      <c r="Q50" t="s">
        <v>194</v>
      </c>
      <c r="R50" t="s">
        <v>181</v>
      </c>
      <c r="S50" t="s">
        <v>182</v>
      </c>
      <c r="T50" t="s">
        <v>182</v>
      </c>
      <c r="U50" t="s">
        <v>182</v>
      </c>
      <c r="V50">
        <v>60.52</v>
      </c>
      <c r="W50">
        <v>3</v>
      </c>
      <c r="X50">
        <v>0</v>
      </c>
      <c r="Y50">
        <v>93800</v>
      </c>
      <c r="Z50">
        <v>230</v>
      </c>
      <c r="AA50">
        <v>1960</v>
      </c>
      <c r="AB50">
        <v>0</v>
      </c>
      <c r="AC50">
        <v>0</v>
      </c>
      <c r="AD50">
        <v>6097</v>
      </c>
      <c r="AE50">
        <v>6.5</v>
      </c>
      <c r="AF50">
        <v>1407</v>
      </c>
      <c r="AG50">
        <v>1.5</v>
      </c>
      <c r="AH50">
        <v>469</v>
      </c>
      <c r="AI50">
        <v>0.5</v>
      </c>
      <c r="AJ50">
        <v>388.54</v>
      </c>
      <c r="AK50">
        <v>430.08425903320301</v>
      </c>
      <c r="AL50" s="18">
        <v>-50.541058168688721</v>
      </c>
      <c r="AM50" s="14">
        <v>4.581254360193765E-2</v>
      </c>
      <c r="AN50" s="14">
        <v>2.3856996256374483E-2</v>
      </c>
      <c r="AO50" s="14">
        <v>0.1192849812818724</v>
      </c>
    </row>
    <row r="51" spans="1:41" x14ac:dyDescent="0.25">
      <c r="A51">
        <v>49</v>
      </c>
      <c r="B51">
        <v>115505806</v>
      </c>
      <c r="C51">
        <v>2020</v>
      </c>
      <c r="D51">
        <v>5</v>
      </c>
      <c r="E51">
        <v>31</v>
      </c>
      <c r="F51" t="s">
        <v>250</v>
      </c>
      <c r="G51" t="s">
        <v>251</v>
      </c>
      <c r="H51" t="s">
        <v>68</v>
      </c>
      <c r="I51">
        <v>44149</v>
      </c>
      <c r="J51" t="s">
        <v>16</v>
      </c>
      <c r="L51">
        <v>0</v>
      </c>
      <c r="M51">
        <v>0</v>
      </c>
      <c r="N51" t="s">
        <v>200</v>
      </c>
      <c r="O51" t="s">
        <v>182</v>
      </c>
      <c r="P51" t="s">
        <v>181</v>
      </c>
      <c r="R51" t="s">
        <v>181</v>
      </c>
      <c r="S51" t="s">
        <v>181</v>
      </c>
      <c r="T51" t="s">
        <v>182</v>
      </c>
      <c r="U51" t="s">
        <v>182</v>
      </c>
      <c r="V51">
        <v>60</v>
      </c>
      <c r="W51">
        <v>2</v>
      </c>
      <c r="X51">
        <v>0</v>
      </c>
      <c r="Y51">
        <v>125000</v>
      </c>
      <c r="Z51">
        <v>140</v>
      </c>
      <c r="AA51" t="s">
        <v>252</v>
      </c>
      <c r="AB51">
        <v>6250</v>
      </c>
      <c r="AC51">
        <v>5</v>
      </c>
      <c r="AD51">
        <v>8125</v>
      </c>
      <c r="AE51">
        <v>6.5</v>
      </c>
      <c r="AF51">
        <v>1875</v>
      </c>
      <c r="AG51">
        <v>1.5</v>
      </c>
      <c r="AH51">
        <v>625</v>
      </c>
      <c r="AI51">
        <v>0.5</v>
      </c>
      <c r="AJ51">
        <v>525</v>
      </c>
      <c r="AK51">
        <v>575.70989990234295</v>
      </c>
      <c r="AL51" s="18">
        <v>-10.28209640752172</v>
      </c>
      <c r="AM51" s="14">
        <v>4.4405286343612335E-2</v>
      </c>
      <c r="AN51" s="14">
        <v>3.0852511013215858E-2</v>
      </c>
      <c r="AO51" s="14">
        <v>0.15426255506607928</v>
      </c>
    </row>
    <row r="52" spans="1:41" x14ac:dyDescent="0.25">
      <c r="A52">
        <v>50</v>
      </c>
      <c r="B52">
        <v>115519053</v>
      </c>
      <c r="C52">
        <v>2020</v>
      </c>
      <c r="D52">
        <v>5</v>
      </c>
      <c r="E52">
        <v>31</v>
      </c>
      <c r="F52" t="s">
        <v>253</v>
      </c>
      <c r="G52" s="1" t="s">
        <v>254</v>
      </c>
      <c r="H52" t="s">
        <v>68</v>
      </c>
      <c r="I52">
        <v>44359</v>
      </c>
      <c r="J52" t="s">
        <v>45</v>
      </c>
      <c r="K52" t="s">
        <v>255</v>
      </c>
      <c r="L52">
        <v>51.555160000000001</v>
      </c>
      <c r="M52">
        <v>7.3904399999999999</v>
      </c>
      <c r="N52" t="s">
        <v>214</v>
      </c>
      <c r="O52" t="s">
        <v>181</v>
      </c>
      <c r="P52" t="s">
        <v>182</v>
      </c>
      <c r="Q52" t="s">
        <v>194</v>
      </c>
      <c r="R52" t="s">
        <v>181</v>
      </c>
      <c r="S52" t="s">
        <v>182</v>
      </c>
      <c r="T52" t="s">
        <v>182</v>
      </c>
      <c r="U52" t="s">
        <v>182</v>
      </c>
      <c r="V52">
        <v>60.49</v>
      </c>
      <c r="W52">
        <v>3</v>
      </c>
      <c r="X52">
        <v>0</v>
      </c>
      <c r="Y52">
        <v>92000</v>
      </c>
      <c r="Z52">
        <v>302</v>
      </c>
      <c r="AA52">
        <v>1959</v>
      </c>
      <c r="AB52">
        <v>0</v>
      </c>
      <c r="AC52">
        <v>0</v>
      </c>
      <c r="AD52">
        <v>5980</v>
      </c>
      <c r="AE52">
        <v>6.5</v>
      </c>
      <c r="AF52">
        <v>1380</v>
      </c>
      <c r="AG52">
        <v>1.5</v>
      </c>
      <c r="AH52">
        <v>460</v>
      </c>
      <c r="AI52">
        <v>0.5</v>
      </c>
      <c r="AJ52">
        <v>0</v>
      </c>
      <c r="AK52">
        <v>430.08425903320301</v>
      </c>
      <c r="AL52" s="18">
        <v>-46.20366266577966</v>
      </c>
      <c r="AM52" s="14">
        <v>5.1703176802228371E-2</v>
      </c>
      <c r="AN52" s="14">
        <v>2.4695234506095329E-2</v>
      </c>
      <c r="AO52" s="14">
        <v>0.12347617253047664</v>
      </c>
    </row>
    <row r="53" spans="1:41" x14ac:dyDescent="0.25">
      <c r="A53">
        <v>51</v>
      </c>
      <c r="B53">
        <v>115576592</v>
      </c>
      <c r="C53">
        <v>2020</v>
      </c>
      <c r="D53">
        <v>5</v>
      </c>
      <c r="E53">
        <v>31</v>
      </c>
      <c r="F53" t="s">
        <v>256</v>
      </c>
      <c r="G53" t="s">
        <v>257</v>
      </c>
      <c r="H53" t="s">
        <v>68</v>
      </c>
      <c r="I53">
        <v>44309</v>
      </c>
      <c r="J53" t="s">
        <v>12</v>
      </c>
      <c r="L53">
        <v>0</v>
      </c>
      <c r="M53">
        <v>0</v>
      </c>
      <c r="N53" t="s">
        <v>258</v>
      </c>
      <c r="O53" t="s">
        <v>181</v>
      </c>
      <c r="P53" t="s">
        <v>182</v>
      </c>
      <c r="Q53" t="s">
        <v>194</v>
      </c>
      <c r="R53" t="s">
        <v>181</v>
      </c>
      <c r="S53" t="s">
        <v>182</v>
      </c>
      <c r="T53" t="s">
        <v>182</v>
      </c>
      <c r="U53" t="s">
        <v>182</v>
      </c>
      <c r="V53">
        <v>59</v>
      </c>
      <c r="W53">
        <v>2</v>
      </c>
      <c r="X53">
        <v>0</v>
      </c>
      <c r="Y53">
        <v>99000</v>
      </c>
      <c r="Z53">
        <v>182</v>
      </c>
      <c r="AA53">
        <v>1972</v>
      </c>
      <c r="AB53">
        <v>3534.3</v>
      </c>
      <c r="AC53">
        <v>3.57</v>
      </c>
      <c r="AD53">
        <v>6435</v>
      </c>
      <c r="AE53">
        <v>6.5</v>
      </c>
      <c r="AF53">
        <v>1485</v>
      </c>
      <c r="AG53">
        <v>1.5</v>
      </c>
      <c r="AH53">
        <v>495</v>
      </c>
      <c r="AI53">
        <v>0.5</v>
      </c>
      <c r="AJ53">
        <v>0</v>
      </c>
      <c r="AK53">
        <v>410.52468872070301</v>
      </c>
      <c r="AL53" s="18">
        <v>-37.303766385654271</v>
      </c>
      <c r="AM53" s="14">
        <v>4.4401328035854531E-2</v>
      </c>
      <c r="AN53" s="14">
        <v>2.6534761306726905E-2</v>
      </c>
      <c r="AO53" s="14">
        <v>0.13267380653363453</v>
      </c>
    </row>
    <row r="54" spans="1:41" x14ac:dyDescent="0.25">
      <c r="A54">
        <v>52</v>
      </c>
      <c r="B54">
        <v>115824382</v>
      </c>
      <c r="C54">
        <v>2020</v>
      </c>
      <c r="D54">
        <v>5</v>
      </c>
      <c r="E54">
        <v>31</v>
      </c>
      <c r="F54" t="s">
        <v>259</v>
      </c>
      <c r="G54" t="s">
        <v>260</v>
      </c>
      <c r="H54" t="s">
        <v>68</v>
      </c>
      <c r="I54">
        <v>44369</v>
      </c>
      <c r="J54" t="s">
        <v>51</v>
      </c>
      <c r="K54" t="s">
        <v>261</v>
      </c>
      <c r="L54">
        <v>51.533940000000001</v>
      </c>
      <c r="M54">
        <v>7.3771399999999998</v>
      </c>
      <c r="N54" t="s">
        <v>214</v>
      </c>
      <c r="O54" t="s">
        <v>181</v>
      </c>
      <c r="P54" t="s">
        <v>182</v>
      </c>
      <c r="Q54" t="s">
        <v>215</v>
      </c>
      <c r="R54" t="s">
        <v>182</v>
      </c>
      <c r="S54" t="s">
        <v>182</v>
      </c>
      <c r="T54" t="s">
        <v>182</v>
      </c>
      <c r="U54" t="s">
        <v>182</v>
      </c>
      <c r="V54">
        <v>69</v>
      </c>
      <c r="W54">
        <v>3.5</v>
      </c>
      <c r="X54">
        <v>0</v>
      </c>
      <c r="Y54">
        <v>108000</v>
      </c>
      <c r="Z54">
        <v>233</v>
      </c>
      <c r="AA54">
        <v>1968</v>
      </c>
      <c r="AB54">
        <v>0</v>
      </c>
      <c r="AC54">
        <v>0</v>
      </c>
      <c r="AD54">
        <v>7020</v>
      </c>
      <c r="AE54">
        <v>6.5</v>
      </c>
      <c r="AF54">
        <v>1620</v>
      </c>
      <c r="AG54">
        <v>1.5</v>
      </c>
      <c r="AH54">
        <v>540</v>
      </c>
      <c r="AI54">
        <v>0.5</v>
      </c>
      <c r="AJ54">
        <v>399</v>
      </c>
      <c r="AK54">
        <v>489.302642822265</v>
      </c>
      <c r="AL54" s="18">
        <v>-75.115571239001895</v>
      </c>
      <c r="AM54" s="14">
        <v>4.0860215053763443E-2</v>
      </c>
      <c r="AN54" s="14">
        <v>2.0696815156169997E-2</v>
      </c>
      <c r="AO54" s="14">
        <v>0.10348407578084998</v>
      </c>
    </row>
    <row r="55" spans="1:41" ht="157.5" x14ac:dyDescent="0.25">
      <c r="A55">
        <v>53</v>
      </c>
      <c r="B55">
        <v>115830420</v>
      </c>
      <c r="C55">
        <v>2020</v>
      </c>
      <c r="D55">
        <v>5</v>
      </c>
      <c r="E55">
        <v>31</v>
      </c>
      <c r="F55" s="32" t="s">
        <v>262</v>
      </c>
      <c r="G55" t="s">
        <v>263</v>
      </c>
      <c r="H55" t="s">
        <v>68</v>
      </c>
      <c r="I55">
        <v>44379</v>
      </c>
      <c r="J55" t="s">
        <v>30</v>
      </c>
      <c r="L55">
        <v>0</v>
      </c>
      <c r="M55">
        <v>0</v>
      </c>
      <c r="N55" t="s">
        <v>264</v>
      </c>
      <c r="O55" t="s">
        <v>181</v>
      </c>
      <c r="P55" t="s">
        <v>182</v>
      </c>
      <c r="R55" t="s">
        <v>182</v>
      </c>
      <c r="S55" t="s">
        <v>182</v>
      </c>
      <c r="T55" t="s">
        <v>182</v>
      </c>
      <c r="U55" t="s">
        <v>182</v>
      </c>
      <c r="V55">
        <v>74</v>
      </c>
      <c r="W55">
        <v>3</v>
      </c>
      <c r="X55">
        <v>0</v>
      </c>
      <c r="Y55">
        <v>110000</v>
      </c>
      <c r="Z55">
        <v>0</v>
      </c>
      <c r="AA55">
        <v>1926</v>
      </c>
      <c r="AB55">
        <v>5236</v>
      </c>
      <c r="AC55">
        <v>4.76</v>
      </c>
      <c r="AD55">
        <v>7150</v>
      </c>
      <c r="AE55">
        <v>6.5</v>
      </c>
      <c r="AF55">
        <v>1650</v>
      </c>
      <c r="AG55">
        <v>1.5</v>
      </c>
      <c r="AH55">
        <v>550</v>
      </c>
      <c r="AI55">
        <v>0.5</v>
      </c>
      <c r="AJ55">
        <v>0</v>
      </c>
      <c r="AK55">
        <v>549.36767578125</v>
      </c>
      <c r="AL55" s="18">
        <v>21.926010803929159</v>
      </c>
      <c r="AM55" s="14">
        <v>5.2914549864150062E-2</v>
      </c>
      <c r="AN55" s="14">
        <v>3.7928231658252126E-2</v>
      </c>
      <c r="AO55" s="14">
        <v>0.18964115829126063</v>
      </c>
    </row>
    <row r="56" spans="1:41" x14ac:dyDescent="0.25">
      <c r="A56">
        <v>54</v>
      </c>
      <c r="B56">
        <v>114848585</v>
      </c>
      <c r="C56">
        <v>2020</v>
      </c>
      <c r="D56">
        <v>5</v>
      </c>
      <c r="E56">
        <v>31</v>
      </c>
      <c r="F56" t="s">
        <v>211</v>
      </c>
      <c r="G56" t="s">
        <v>212</v>
      </c>
      <c r="H56" t="s">
        <v>68</v>
      </c>
      <c r="I56">
        <v>44309</v>
      </c>
      <c r="J56" t="s">
        <v>12</v>
      </c>
      <c r="K56" t="s">
        <v>213</v>
      </c>
      <c r="L56">
        <v>51.527000000000001</v>
      </c>
      <c r="M56">
        <v>7.5373599999999996</v>
      </c>
      <c r="N56" t="s">
        <v>214</v>
      </c>
      <c r="O56" t="s">
        <v>181</v>
      </c>
      <c r="P56" t="s">
        <v>182</v>
      </c>
      <c r="Q56" t="s">
        <v>215</v>
      </c>
      <c r="R56" t="s">
        <v>182</v>
      </c>
      <c r="S56" t="s">
        <v>182</v>
      </c>
      <c r="T56" t="s">
        <v>182</v>
      </c>
      <c r="U56" t="s">
        <v>182</v>
      </c>
      <c r="V56">
        <v>60.66</v>
      </c>
      <c r="W56">
        <v>3.5</v>
      </c>
      <c r="X56">
        <v>0</v>
      </c>
      <c r="Y56">
        <v>93000</v>
      </c>
      <c r="Z56">
        <v>247</v>
      </c>
      <c r="AA56">
        <v>1963</v>
      </c>
      <c r="AB56">
        <v>0</v>
      </c>
      <c r="AC56">
        <v>0</v>
      </c>
      <c r="AD56">
        <v>6045</v>
      </c>
      <c r="AE56">
        <v>6.5</v>
      </c>
      <c r="AF56">
        <v>1395</v>
      </c>
      <c r="AG56">
        <v>1.5</v>
      </c>
      <c r="AH56">
        <v>465</v>
      </c>
      <c r="AI56">
        <v>0.5</v>
      </c>
      <c r="AJ56">
        <v>312.39999999999998</v>
      </c>
      <c r="AK56">
        <v>430.08425903320301</v>
      </c>
      <c r="AL56" s="18">
        <v>-97.911839122473879</v>
      </c>
      <c r="AM56" s="14">
        <v>3.7151776423368511E-2</v>
      </c>
      <c r="AN56" s="14">
        <v>1.3955986323769877E-2</v>
      </c>
      <c r="AO56" s="14">
        <v>6.9779931618849378E-2</v>
      </c>
    </row>
    <row r="57" spans="1:41" x14ac:dyDescent="0.25">
      <c r="A57">
        <v>55</v>
      </c>
      <c r="B57">
        <v>114848587</v>
      </c>
      <c r="C57">
        <v>2020</v>
      </c>
      <c r="D57">
        <v>5</v>
      </c>
      <c r="E57">
        <v>31</v>
      </c>
      <c r="F57" t="s">
        <v>216</v>
      </c>
      <c r="G57" t="s">
        <v>217</v>
      </c>
      <c r="H57" t="s">
        <v>68</v>
      </c>
      <c r="I57">
        <v>44309</v>
      </c>
      <c r="J57" t="s">
        <v>12</v>
      </c>
      <c r="K57" t="s">
        <v>213</v>
      </c>
      <c r="L57">
        <v>51.527000000000001</v>
      </c>
      <c r="M57">
        <v>7.5373599999999996</v>
      </c>
      <c r="N57" t="s">
        <v>214</v>
      </c>
      <c r="O57" t="s">
        <v>181</v>
      </c>
      <c r="P57" t="s">
        <v>182</v>
      </c>
      <c r="Q57" t="s">
        <v>215</v>
      </c>
      <c r="R57" t="s">
        <v>181</v>
      </c>
      <c r="S57" t="s">
        <v>182</v>
      </c>
      <c r="T57" t="s">
        <v>182</v>
      </c>
      <c r="U57" t="s">
        <v>182</v>
      </c>
      <c r="V57">
        <v>58.75</v>
      </c>
      <c r="W57">
        <v>3.5</v>
      </c>
      <c r="X57">
        <v>0</v>
      </c>
      <c r="Y57">
        <v>93000</v>
      </c>
      <c r="Z57">
        <v>215</v>
      </c>
      <c r="AA57">
        <v>1963</v>
      </c>
      <c r="AB57">
        <v>0</v>
      </c>
      <c r="AC57">
        <v>0</v>
      </c>
      <c r="AD57">
        <v>6045</v>
      </c>
      <c r="AE57">
        <v>6.5</v>
      </c>
      <c r="AF57">
        <v>1395</v>
      </c>
      <c r="AG57">
        <v>1.5</v>
      </c>
      <c r="AH57">
        <v>465</v>
      </c>
      <c r="AI57">
        <v>0.5</v>
      </c>
      <c r="AJ57">
        <v>314.31</v>
      </c>
      <c r="AK57">
        <v>410.52468872070301</v>
      </c>
      <c r="AL57" s="18">
        <v>-85.836139122473909</v>
      </c>
      <c r="AM57" s="14">
        <v>3.7378920767058128E-2</v>
      </c>
      <c r="AN57" s="14">
        <v>1.6276188494128142E-2</v>
      </c>
      <c r="AO57" s="14">
        <v>8.1380942470640719E-2</v>
      </c>
    </row>
    <row r="58" spans="1:41" x14ac:dyDescent="0.25">
      <c r="A58">
        <v>56</v>
      </c>
      <c r="B58">
        <v>114848594</v>
      </c>
      <c r="C58">
        <v>2020</v>
      </c>
      <c r="D58">
        <v>5</v>
      </c>
      <c r="E58">
        <v>31</v>
      </c>
      <c r="F58" t="s">
        <v>358</v>
      </c>
      <c r="G58" t="s">
        <v>359</v>
      </c>
      <c r="H58" t="s">
        <v>68</v>
      </c>
      <c r="I58">
        <v>44309</v>
      </c>
      <c r="J58" t="s">
        <v>12</v>
      </c>
      <c r="K58" t="s">
        <v>360</v>
      </c>
      <c r="L58">
        <v>51.528709999999997</v>
      </c>
      <c r="M58">
        <v>7.5373999999999999</v>
      </c>
      <c r="N58" t="s">
        <v>214</v>
      </c>
      <c r="O58" t="s">
        <v>182</v>
      </c>
      <c r="P58" t="s">
        <v>182</v>
      </c>
      <c r="Q58" t="s">
        <v>277</v>
      </c>
      <c r="R58" t="s">
        <v>181</v>
      </c>
      <c r="S58" t="s">
        <v>181</v>
      </c>
      <c r="T58" t="s">
        <v>182</v>
      </c>
      <c r="U58" t="s">
        <v>182</v>
      </c>
      <c r="V58">
        <v>45.54</v>
      </c>
      <c r="W58">
        <v>2</v>
      </c>
      <c r="X58">
        <v>0</v>
      </c>
      <c r="Y58">
        <v>88000</v>
      </c>
      <c r="Z58">
        <v>163</v>
      </c>
      <c r="AA58">
        <v>1959</v>
      </c>
      <c r="AB58">
        <v>0</v>
      </c>
      <c r="AC58">
        <v>0</v>
      </c>
      <c r="AD58">
        <v>5720</v>
      </c>
      <c r="AE58">
        <v>6.5</v>
      </c>
      <c r="AF58">
        <v>1320</v>
      </c>
      <c r="AG58">
        <v>1.5</v>
      </c>
      <c r="AH58">
        <v>440</v>
      </c>
      <c r="AI58">
        <v>0.5</v>
      </c>
      <c r="AJ58">
        <v>0</v>
      </c>
      <c r="AK58">
        <v>336.840240478515</v>
      </c>
      <c r="AL58" s="18">
        <v>-41.158658010877623</v>
      </c>
      <c r="AM58" s="14">
        <v>4.2334341073965019E-2</v>
      </c>
      <c r="AN58" s="14">
        <v>2.4027059967974232E-2</v>
      </c>
      <c r="AO58" s="14">
        <v>0.12013529983987116</v>
      </c>
    </row>
    <row r="59" spans="1:41" x14ac:dyDescent="0.25">
      <c r="A59">
        <v>57</v>
      </c>
      <c r="B59">
        <v>114848599</v>
      </c>
      <c r="C59">
        <v>2020</v>
      </c>
      <c r="D59">
        <v>5</v>
      </c>
      <c r="E59">
        <v>31</v>
      </c>
      <c r="F59" t="s">
        <v>218</v>
      </c>
      <c r="G59" t="s">
        <v>219</v>
      </c>
      <c r="H59" t="s">
        <v>68</v>
      </c>
      <c r="I59">
        <v>44309</v>
      </c>
      <c r="J59" t="s">
        <v>12</v>
      </c>
      <c r="K59" t="s">
        <v>220</v>
      </c>
      <c r="L59">
        <v>51.527929999999998</v>
      </c>
      <c r="M59">
        <v>7.5381900000000002</v>
      </c>
      <c r="N59" t="s">
        <v>214</v>
      </c>
      <c r="O59" t="s">
        <v>181</v>
      </c>
      <c r="P59" t="s">
        <v>182</v>
      </c>
      <c r="Q59" t="s">
        <v>221</v>
      </c>
      <c r="R59" t="s">
        <v>182</v>
      </c>
      <c r="S59" t="s">
        <v>182</v>
      </c>
      <c r="T59" t="s">
        <v>182</v>
      </c>
      <c r="U59" t="s">
        <v>182</v>
      </c>
      <c r="V59">
        <v>54.05</v>
      </c>
      <c r="W59">
        <v>2.5</v>
      </c>
      <c r="X59">
        <v>0</v>
      </c>
      <c r="Y59">
        <v>90200</v>
      </c>
      <c r="Z59">
        <v>207</v>
      </c>
      <c r="AA59">
        <v>1959</v>
      </c>
      <c r="AB59">
        <v>0</v>
      </c>
      <c r="AC59">
        <v>0</v>
      </c>
      <c r="AD59">
        <v>5863</v>
      </c>
      <c r="AE59">
        <v>6.5</v>
      </c>
      <c r="AF59">
        <v>1353</v>
      </c>
      <c r="AG59">
        <v>1.5</v>
      </c>
      <c r="AH59">
        <v>451</v>
      </c>
      <c r="AI59">
        <v>0.5</v>
      </c>
      <c r="AJ59">
        <v>312.41000000000003</v>
      </c>
      <c r="AK59">
        <v>410.52468872070301</v>
      </c>
      <c r="AL59" s="18">
        <v>-77.061322460721954</v>
      </c>
      <c r="AM59" s="14">
        <v>3.830627279879837E-2</v>
      </c>
      <c r="AN59" s="14">
        <v>1.7306511081365526E-2</v>
      </c>
      <c r="AO59" s="14">
        <v>8.6532555406827624E-2</v>
      </c>
    </row>
    <row r="60" spans="1:41" x14ac:dyDescent="0.25">
      <c r="A60">
        <v>58</v>
      </c>
      <c r="B60">
        <v>114848712</v>
      </c>
      <c r="C60">
        <v>2020</v>
      </c>
      <c r="D60">
        <v>5</v>
      </c>
      <c r="E60">
        <v>31</v>
      </c>
      <c r="F60" t="s">
        <v>222</v>
      </c>
      <c r="G60" t="s">
        <v>223</v>
      </c>
      <c r="H60" t="s">
        <v>68</v>
      </c>
      <c r="I60">
        <v>44225</v>
      </c>
      <c r="J60" t="s">
        <v>31</v>
      </c>
      <c r="K60" t="s">
        <v>224</v>
      </c>
      <c r="L60">
        <v>51.473109999999998</v>
      </c>
      <c r="M60">
        <v>7.4487399999999999</v>
      </c>
      <c r="N60" t="s">
        <v>214</v>
      </c>
      <c r="O60" t="s">
        <v>181</v>
      </c>
      <c r="P60" t="s">
        <v>182</v>
      </c>
      <c r="Q60" t="s">
        <v>225</v>
      </c>
      <c r="R60" t="s">
        <v>182</v>
      </c>
      <c r="S60" t="s">
        <v>182</v>
      </c>
      <c r="T60" t="s">
        <v>182</v>
      </c>
      <c r="U60" t="s">
        <v>182</v>
      </c>
      <c r="V60">
        <v>67</v>
      </c>
      <c r="W60">
        <v>2.5</v>
      </c>
      <c r="X60">
        <v>0</v>
      </c>
      <c r="Y60">
        <v>119800</v>
      </c>
      <c r="Z60">
        <v>0</v>
      </c>
      <c r="AA60">
        <v>1970</v>
      </c>
      <c r="AB60">
        <v>0</v>
      </c>
      <c r="AC60">
        <v>0</v>
      </c>
      <c r="AD60">
        <v>7787</v>
      </c>
      <c r="AE60">
        <v>6.5</v>
      </c>
      <c r="AF60">
        <v>1797</v>
      </c>
      <c r="AG60">
        <v>1.5</v>
      </c>
      <c r="AH60">
        <v>599</v>
      </c>
      <c r="AI60">
        <v>0.5</v>
      </c>
      <c r="AJ60">
        <v>470</v>
      </c>
      <c r="AK60">
        <v>489.302642822265</v>
      </c>
      <c r="AL60" s="18">
        <v>-28.695727170670615</v>
      </c>
      <c r="AM60" s="14">
        <v>4.3390289499396072E-2</v>
      </c>
      <c r="AN60" s="14">
        <v>2.8733908895778676E-2</v>
      </c>
      <c r="AO60" s="14">
        <v>0.14366954447889335</v>
      </c>
    </row>
    <row r="61" spans="1:41" x14ac:dyDescent="0.25">
      <c r="A61">
        <v>59</v>
      </c>
      <c r="B61">
        <v>116012171</v>
      </c>
      <c r="C61">
        <v>2020</v>
      </c>
      <c r="D61">
        <v>5</v>
      </c>
      <c r="E61">
        <v>31</v>
      </c>
      <c r="F61" t="s">
        <v>265</v>
      </c>
      <c r="G61" t="s">
        <v>266</v>
      </c>
      <c r="H61" t="s">
        <v>68</v>
      </c>
      <c r="I61">
        <v>44369</v>
      </c>
      <c r="J61" t="s">
        <v>63</v>
      </c>
      <c r="K61" t="s">
        <v>232</v>
      </c>
      <c r="L61">
        <v>51.526980000000002</v>
      </c>
      <c r="M61">
        <v>7.4002100000000004</v>
      </c>
      <c r="N61" t="s">
        <v>214</v>
      </c>
      <c r="O61" t="s">
        <v>181</v>
      </c>
      <c r="P61" t="s">
        <v>182</v>
      </c>
      <c r="R61" t="s">
        <v>182</v>
      </c>
      <c r="S61" t="s">
        <v>182</v>
      </c>
      <c r="T61" t="s">
        <v>182</v>
      </c>
      <c r="U61" t="s">
        <v>182</v>
      </c>
      <c r="V61">
        <v>39.82</v>
      </c>
      <c r="W61">
        <v>1</v>
      </c>
      <c r="X61">
        <v>0</v>
      </c>
      <c r="Y61">
        <v>74000</v>
      </c>
      <c r="Z61">
        <v>173</v>
      </c>
      <c r="AA61">
        <v>1942</v>
      </c>
      <c r="AB61">
        <v>0</v>
      </c>
      <c r="AC61">
        <v>0</v>
      </c>
      <c r="AD61">
        <v>4810</v>
      </c>
      <c r="AE61">
        <v>6.5</v>
      </c>
      <c r="AF61">
        <v>1110</v>
      </c>
      <c r="AG61">
        <v>1.5</v>
      </c>
      <c r="AH61">
        <v>370</v>
      </c>
      <c r="AI61">
        <v>0.5</v>
      </c>
      <c r="AJ61">
        <v>0</v>
      </c>
      <c r="AK61">
        <v>374.29660034179602</v>
      </c>
      <c r="AL61" s="18">
        <v>4.9155504199520514</v>
      </c>
      <c r="AM61" s="14">
        <v>5.5941701383753303E-2</v>
      </c>
      <c r="AN61" s="14">
        <v>3.4680752324094559E-2</v>
      </c>
      <c r="AO61" s="14">
        <v>0.17340376162047277</v>
      </c>
    </row>
    <row r="62" spans="1:41" x14ac:dyDescent="0.25">
      <c r="A62">
        <v>60</v>
      </c>
      <c r="B62">
        <v>116013216</v>
      </c>
      <c r="C62">
        <v>2020</v>
      </c>
      <c r="D62">
        <v>5</v>
      </c>
      <c r="E62">
        <v>31</v>
      </c>
      <c r="F62" t="s">
        <v>267</v>
      </c>
      <c r="G62" t="s">
        <v>268</v>
      </c>
      <c r="H62" t="s">
        <v>68</v>
      </c>
      <c r="I62">
        <v>44265</v>
      </c>
      <c r="J62" t="s">
        <v>61</v>
      </c>
      <c r="L62">
        <v>0</v>
      </c>
      <c r="M62">
        <v>0</v>
      </c>
      <c r="N62" t="s">
        <v>269</v>
      </c>
      <c r="O62" t="s">
        <v>182</v>
      </c>
      <c r="P62" t="s">
        <v>182</v>
      </c>
      <c r="R62" t="s">
        <v>181</v>
      </c>
      <c r="S62" t="s">
        <v>182</v>
      </c>
      <c r="T62" t="s">
        <v>182</v>
      </c>
      <c r="U62" t="s">
        <v>182</v>
      </c>
      <c r="V62">
        <v>70.8</v>
      </c>
      <c r="W62">
        <v>3.5</v>
      </c>
      <c r="X62">
        <v>0</v>
      </c>
      <c r="Y62">
        <v>109000</v>
      </c>
      <c r="Z62">
        <v>0</v>
      </c>
      <c r="AA62">
        <v>1902</v>
      </c>
      <c r="AB62">
        <v>4360</v>
      </c>
      <c r="AC62">
        <v>4</v>
      </c>
      <c r="AD62">
        <v>7085</v>
      </c>
      <c r="AE62">
        <v>6.5</v>
      </c>
      <c r="AF62">
        <v>1635</v>
      </c>
      <c r="AG62">
        <v>1.5</v>
      </c>
      <c r="AH62">
        <v>545</v>
      </c>
      <c r="AI62">
        <v>0.5</v>
      </c>
      <c r="AJ62">
        <v>0</v>
      </c>
      <c r="AK62">
        <v>468.77865600585898</v>
      </c>
      <c r="AL62" s="18">
        <v>-19.182396539901582</v>
      </c>
      <c r="AM62" s="14">
        <v>4.5874363890481613E-2</v>
      </c>
      <c r="AN62" s="14">
        <v>3.0760969395068768E-2</v>
      </c>
      <c r="AO62" s="14">
        <v>0.15380484697534386</v>
      </c>
    </row>
    <row r="63" spans="1:41" x14ac:dyDescent="0.25">
      <c r="A63">
        <v>61</v>
      </c>
      <c r="B63">
        <v>114732240</v>
      </c>
      <c r="C63">
        <v>2020</v>
      </c>
      <c r="D63">
        <v>5</v>
      </c>
      <c r="E63">
        <v>31</v>
      </c>
      <c r="F63" t="s">
        <v>207</v>
      </c>
      <c r="G63" t="s">
        <v>208</v>
      </c>
      <c r="H63" t="s">
        <v>68</v>
      </c>
      <c r="I63">
        <v>44388</v>
      </c>
      <c r="J63" t="s">
        <v>11</v>
      </c>
      <c r="K63" t="s">
        <v>209</v>
      </c>
      <c r="L63">
        <v>51.519469999999998</v>
      </c>
      <c r="M63">
        <v>7.32578</v>
      </c>
      <c r="N63" t="s">
        <v>210</v>
      </c>
      <c r="O63" t="s">
        <v>182</v>
      </c>
      <c r="P63" t="s">
        <v>182</v>
      </c>
      <c r="R63" t="s">
        <v>181</v>
      </c>
      <c r="S63" t="s">
        <v>182</v>
      </c>
      <c r="T63" t="s">
        <v>182</v>
      </c>
      <c r="U63" t="s">
        <v>182</v>
      </c>
      <c r="V63">
        <v>53</v>
      </c>
      <c r="W63">
        <v>3</v>
      </c>
      <c r="X63">
        <v>0</v>
      </c>
      <c r="Y63">
        <v>59500</v>
      </c>
      <c r="Z63">
        <v>205</v>
      </c>
      <c r="AB63">
        <v>2124.15</v>
      </c>
      <c r="AC63">
        <v>3.57</v>
      </c>
      <c r="AD63">
        <v>3867.5</v>
      </c>
      <c r="AE63">
        <v>6.5</v>
      </c>
      <c r="AF63">
        <v>892.5</v>
      </c>
      <c r="AG63">
        <v>1.5</v>
      </c>
      <c r="AH63">
        <v>297.5</v>
      </c>
      <c r="AI63">
        <v>0.5</v>
      </c>
      <c r="AJ63">
        <v>0</v>
      </c>
      <c r="AK63">
        <v>366.57601928710898</v>
      </c>
      <c r="AL63" s="18">
        <v>6.2888873784089512</v>
      </c>
      <c r="AM63" s="14">
        <v>6.5968856971075379E-2</v>
      </c>
      <c r="AN63" s="14">
        <v>3.8638417247403266E-2</v>
      </c>
      <c r="AO63" s="14">
        <v>0.19319208623701631</v>
      </c>
    </row>
    <row r="64" spans="1:41" x14ac:dyDescent="0.25">
      <c r="A64">
        <v>62</v>
      </c>
      <c r="B64">
        <v>108959763</v>
      </c>
      <c r="C64">
        <v>2020</v>
      </c>
      <c r="D64">
        <v>5</v>
      </c>
      <c r="E64">
        <v>31</v>
      </c>
      <c r="F64" t="s">
        <v>183</v>
      </c>
      <c r="G64" t="s">
        <v>184</v>
      </c>
      <c r="H64" t="s">
        <v>68</v>
      </c>
      <c r="I64">
        <v>44328</v>
      </c>
      <c r="J64" t="s">
        <v>53</v>
      </c>
      <c r="K64" t="s">
        <v>185</v>
      </c>
      <c r="L64">
        <v>51.539160000000003</v>
      </c>
      <c r="M64">
        <v>7.5136099999999999</v>
      </c>
      <c r="N64" t="s">
        <v>186</v>
      </c>
      <c r="O64" t="s">
        <v>181</v>
      </c>
      <c r="P64" t="s">
        <v>182</v>
      </c>
      <c r="R64" t="s">
        <v>181</v>
      </c>
      <c r="S64" t="s">
        <v>182</v>
      </c>
      <c r="T64" t="s">
        <v>181</v>
      </c>
      <c r="U64" t="s">
        <v>182</v>
      </c>
      <c r="V64">
        <v>79</v>
      </c>
      <c r="W64">
        <v>3</v>
      </c>
      <c r="X64">
        <v>0</v>
      </c>
      <c r="Y64">
        <v>125000</v>
      </c>
      <c r="Z64">
        <v>0</v>
      </c>
      <c r="AA64">
        <v>1991</v>
      </c>
      <c r="AB64">
        <v>5950</v>
      </c>
      <c r="AC64">
        <v>4.76</v>
      </c>
      <c r="AD64">
        <v>8125</v>
      </c>
      <c r="AE64">
        <v>6.5</v>
      </c>
      <c r="AF64">
        <v>1875</v>
      </c>
      <c r="AG64">
        <v>1.5</v>
      </c>
      <c r="AH64">
        <v>625</v>
      </c>
      <c r="AI64">
        <v>0.5</v>
      </c>
      <c r="AJ64">
        <v>400</v>
      </c>
      <c r="AK64">
        <v>602.59954833984295</v>
      </c>
      <c r="AL64" s="18">
        <v>-93.6733686265719</v>
      </c>
      <c r="AM64" s="14">
        <v>3.3904291011831185E-2</v>
      </c>
      <c r="AN64" s="14">
        <v>1.9871530990641002E-2</v>
      </c>
      <c r="AO64" s="14">
        <v>9.9357654953205005E-2</v>
      </c>
    </row>
    <row r="65" spans="1:41" x14ac:dyDescent="0.25">
      <c r="A65">
        <v>63</v>
      </c>
      <c r="B65">
        <v>111349605</v>
      </c>
      <c r="C65">
        <v>2020</v>
      </c>
      <c r="D65">
        <v>5</v>
      </c>
      <c r="E65">
        <v>31</v>
      </c>
      <c r="F65" t="s">
        <v>190</v>
      </c>
      <c r="G65" t="s">
        <v>191</v>
      </c>
      <c r="H65" t="s">
        <v>68</v>
      </c>
      <c r="I65">
        <v>44225</v>
      </c>
      <c r="J65" t="s">
        <v>52</v>
      </c>
      <c r="K65" t="s">
        <v>192</v>
      </c>
      <c r="L65">
        <v>51.479669999999999</v>
      </c>
      <c r="M65">
        <v>7.4607799999999997</v>
      </c>
      <c r="N65" t="s">
        <v>193</v>
      </c>
      <c r="O65" t="s">
        <v>181</v>
      </c>
      <c r="P65" t="s">
        <v>182</v>
      </c>
      <c r="Q65" t="s">
        <v>194</v>
      </c>
      <c r="R65" t="s">
        <v>181</v>
      </c>
      <c r="S65" t="s">
        <v>181</v>
      </c>
      <c r="T65" t="s">
        <v>181</v>
      </c>
      <c r="U65" t="s">
        <v>181</v>
      </c>
      <c r="V65">
        <v>68</v>
      </c>
      <c r="W65">
        <v>2.5</v>
      </c>
      <c r="X65">
        <v>0</v>
      </c>
      <c r="Y65">
        <v>119000</v>
      </c>
      <c r="Z65">
        <v>0</v>
      </c>
      <c r="AA65">
        <v>1972</v>
      </c>
      <c r="AB65">
        <v>0</v>
      </c>
      <c r="AC65">
        <v>0</v>
      </c>
      <c r="AD65">
        <v>7735</v>
      </c>
      <c r="AE65">
        <v>6.5</v>
      </c>
      <c r="AF65">
        <v>1785</v>
      </c>
      <c r="AG65">
        <v>1.5</v>
      </c>
      <c r="AH65">
        <v>595</v>
      </c>
      <c r="AI65">
        <v>0.5</v>
      </c>
      <c r="AJ65">
        <v>0</v>
      </c>
      <c r="AK65">
        <v>489.302642822265</v>
      </c>
      <c r="AL65" s="18">
        <v>-16.764701715764801</v>
      </c>
      <c r="AM65" s="14">
        <v>4.547598430753344E-2</v>
      </c>
      <c r="AN65" s="14">
        <v>3.0768401145236265E-2</v>
      </c>
      <c r="AO65" s="14">
        <v>0.15384200572618131</v>
      </c>
    </row>
    <row r="66" spans="1:41" x14ac:dyDescent="0.25">
      <c r="A66">
        <v>64</v>
      </c>
      <c r="B66">
        <v>114172552</v>
      </c>
      <c r="C66">
        <v>2020</v>
      </c>
      <c r="D66">
        <v>5</v>
      </c>
      <c r="E66">
        <v>31</v>
      </c>
      <c r="F66" t="s">
        <v>198</v>
      </c>
      <c r="G66" t="s">
        <v>199</v>
      </c>
      <c r="H66" t="s">
        <v>68</v>
      </c>
      <c r="I66">
        <v>44339</v>
      </c>
      <c r="J66" t="s">
        <v>18</v>
      </c>
      <c r="L66">
        <v>0</v>
      </c>
      <c r="M66">
        <v>0</v>
      </c>
      <c r="N66" t="s">
        <v>200</v>
      </c>
      <c r="O66" t="s">
        <v>182</v>
      </c>
      <c r="P66" t="s">
        <v>181</v>
      </c>
      <c r="R66" t="s">
        <v>181</v>
      </c>
      <c r="S66" t="s">
        <v>181</v>
      </c>
      <c r="T66" t="s">
        <v>182</v>
      </c>
      <c r="U66" t="s">
        <v>182</v>
      </c>
      <c r="V66">
        <v>61</v>
      </c>
      <c r="W66">
        <v>2</v>
      </c>
      <c r="X66">
        <v>0</v>
      </c>
      <c r="Y66">
        <v>85000</v>
      </c>
      <c r="Z66">
        <v>200</v>
      </c>
      <c r="AA66">
        <v>2006</v>
      </c>
      <c r="AB66">
        <v>4250</v>
      </c>
      <c r="AC66">
        <v>5</v>
      </c>
      <c r="AD66">
        <v>5525</v>
      </c>
      <c r="AE66">
        <v>6.5</v>
      </c>
      <c r="AF66">
        <v>1275</v>
      </c>
      <c r="AG66">
        <v>1.5</v>
      </c>
      <c r="AH66">
        <v>425</v>
      </c>
      <c r="AI66">
        <v>0.5</v>
      </c>
      <c r="AJ66">
        <v>0</v>
      </c>
      <c r="AK66">
        <v>386.13558959960898</v>
      </c>
      <c r="AL66" s="18">
        <v>-34.027339485337635</v>
      </c>
      <c r="AM66" s="14">
        <v>4.8029303707647658E-2</v>
      </c>
      <c r="AN66" s="14">
        <v>2.7307002593369347E-2</v>
      </c>
      <c r="AO66" s="14">
        <v>0.13653501296684672</v>
      </c>
    </row>
    <row r="67" spans="1:41" x14ac:dyDescent="0.25">
      <c r="A67">
        <v>65</v>
      </c>
      <c r="B67">
        <v>114173746</v>
      </c>
      <c r="C67">
        <v>2020</v>
      </c>
      <c r="D67">
        <v>5</v>
      </c>
      <c r="E67">
        <v>31</v>
      </c>
      <c r="F67" t="s">
        <v>201</v>
      </c>
      <c r="G67" t="s">
        <v>202</v>
      </c>
      <c r="H67" t="s">
        <v>68</v>
      </c>
      <c r="I67">
        <v>44339</v>
      </c>
      <c r="J67" t="s">
        <v>18</v>
      </c>
      <c r="L67">
        <v>0</v>
      </c>
      <c r="M67">
        <v>0</v>
      </c>
      <c r="N67" t="s">
        <v>200</v>
      </c>
      <c r="O67" t="s">
        <v>182</v>
      </c>
      <c r="P67" t="s">
        <v>181</v>
      </c>
      <c r="R67" t="s">
        <v>182</v>
      </c>
      <c r="S67" t="s">
        <v>181</v>
      </c>
      <c r="T67" t="s">
        <v>182</v>
      </c>
      <c r="U67" t="s">
        <v>182</v>
      </c>
      <c r="V67">
        <v>61</v>
      </c>
      <c r="W67">
        <v>2</v>
      </c>
      <c r="X67">
        <v>0</v>
      </c>
      <c r="Y67">
        <v>85000</v>
      </c>
      <c r="Z67">
        <v>200</v>
      </c>
      <c r="AB67">
        <v>4250</v>
      </c>
      <c r="AC67">
        <v>5</v>
      </c>
      <c r="AD67">
        <v>5525</v>
      </c>
      <c r="AE67">
        <v>6.5</v>
      </c>
      <c r="AF67">
        <v>1275</v>
      </c>
      <c r="AG67">
        <v>1.5</v>
      </c>
      <c r="AH67">
        <v>425</v>
      </c>
      <c r="AI67">
        <v>0.5</v>
      </c>
      <c r="AJ67">
        <v>0</v>
      </c>
      <c r="AK67">
        <v>386.13558959960898</v>
      </c>
      <c r="AL67" s="18">
        <v>-34.027339485337635</v>
      </c>
      <c r="AM67" s="14">
        <v>4.8029303707647658E-2</v>
      </c>
      <c r="AN67" s="14">
        <v>2.7307002593369347E-2</v>
      </c>
      <c r="AO67" s="14">
        <v>0.13653501296684672</v>
      </c>
    </row>
    <row r="68" spans="1:41" x14ac:dyDescent="0.25">
      <c r="A68">
        <v>66</v>
      </c>
      <c r="B68">
        <v>63827130</v>
      </c>
      <c r="C68">
        <v>2020</v>
      </c>
      <c r="D68">
        <v>5</v>
      </c>
      <c r="E68">
        <v>31</v>
      </c>
      <c r="F68" t="s">
        <v>178</v>
      </c>
      <c r="G68" t="s">
        <v>179</v>
      </c>
      <c r="H68" t="s">
        <v>68</v>
      </c>
      <c r="I68">
        <v>44145</v>
      </c>
      <c r="J68" t="s">
        <v>26</v>
      </c>
      <c r="K68" t="s">
        <v>180</v>
      </c>
      <c r="L68">
        <v>51.523479999999999</v>
      </c>
      <c r="M68">
        <v>7.4711600000000002</v>
      </c>
      <c r="O68" t="s">
        <v>181</v>
      </c>
      <c r="P68" t="s">
        <v>182</v>
      </c>
      <c r="R68" t="s">
        <v>181</v>
      </c>
      <c r="S68" t="s">
        <v>181</v>
      </c>
      <c r="T68" t="s">
        <v>182</v>
      </c>
      <c r="U68" t="s">
        <v>182</v>
      </c>
      <c r="V68">
        <v>58.87</v>
      </c>
      <c r="W68">
        <v>2</v>
      </c>
      <c r="X68">
        <v>0</v>
      </c>
      <c r="Y68">
        <v>42999</v>
      </c>
      <c r="Z68">
        <v>0</v>
      </c>
      <c r="AB68">
        <v>0</v>
      </c>
      <c r="AC68">
        <v>0</v>
      </c>
      <c r="AD68">
        <v>0</v>
      </c>
      <c r="AE68">
        <v>0</v>
      </c>
      <c r="AF68">
        <v>0</v>
      </c>
      <c r="AG68">
        <v>0</v>
      </c>
      <c r="AH68">
        <v>0</v>
      </c>
      <c r="AI68">
        <v>0</v>
      </c>
      <c r="AJ68">
        <v>0</v>
      </c>
      <c r="AK68">
        <v>410.52468872070301</v>
      </c>
      <c r="AL68" s="18">
        <v>84.623069727262205</v>
      </c>
      <c r="AM68" s="14">
        <v>0.11456769377540026</v>
      </c>
      <c r="AN68" s="14">
        <v>8.4503902524440941E-2</v>
      </c>
      <c r="AO68" s="14">
        <v>0.42251951262220461</v>
      </c>
    </row>
    <row r="69" spans="1:41" x14ac:dyDescent="0.25">
      <c r="A69">
        <v>67</v>
      </c>
      <c r="B69">
        <v>119105711</v>
      </c>
      <c r="C69">
        <v>2020</v>
      </c>
      <c r="D69">
        <v>6</v>
      </c>
      <c r="E69">
        <v>3</v>
      </c>
      <c r="F69" t="s">
        <v>376</v>
      </c>
      <c r="G69" t="s">
        <v>377</v>
      </c>
      <c r="H69" t="s">
        <v>68</v>
      </c>
      <c r="I69">
        <v>44225</v>
      </c>
      <c r="J69" t="s">
        <v>6</v>
      </c>
      <c r="L69">
        <v>0</v>
      </c>
      <c r="M69">
        <v>0</v>
      </c>
      <c r="N69" t="s">
        <v>349</v>
      </c>
      <c r="O69" t="s">
        <v>182</v>
      </c>
      <c r="P69" t="s">
        <v>182</v>
      </c>
      <c r="R69" t="s">
        <v>181</v>
      </c>
      <c r="S69" t="s">
        <v>182</v>
      </c>
      <c r="T69" t="s">
        <v>182</v>
      </c>
      <c r="U69" t="s">
        <v>182</v>
      </c>
      <c r="V69">
        <v>30</v>
      </c>
      <c r="W69">
        <v>1</v>
      </c>
      <c r="X69">
        <v>0</v>
      </c>
      <c r="Y69">
        <v>77500</v>
      </c>
      <c r="Z69">
        <v>130</v>
      </c>
      <c r="AA69">
        <v>1977</v>
      </c>
      <c r="AB69">
        <v>2712.5</v>
      </c>
      <c r="AC69">
        <v>3.5</v>
      </c>
      <c r="AD69">
        <v>5037.5</v>
      </c>
      <c r="AE69">
        <v>6.5</v>
      </c>
      <c r="AF69">
        <v>1162.5</v>
      </c>
      <c r="AG69">
        <v>1.5</v>
      </c>
      <c r="AH69">
        <v>387.5</v>
      </c>
      <c r="AI69">
        <v>0.5</v>
      </c>
      <c r="AJ69">
        <v>290</v>
      </c>
      <c r="AK69">
        <v>330.34799194335898</v>
      </c>
      <c r="AL69" s="18">
        <v>-35.456904621482899</v>
      </c>
      <c r="AM69" s="14">
        <v>4.0092165898617513E-2</v>
      </c>
      <c r="AN69" s="14">
        <v>2.3167373271889401E-2</v>
      </c>
      <c r="AO69" s="14">
        <v>0.11583686635944701</v>
      </c>
    </row>
  </sheetData>
  <autoFilter ref="A2:AO69" xr:uid="{6EBCA8F1-FD94-41F1-A6CB-724E27091753}">
    <sortState xmlns:xlrd2="http://schemas.microsoft.com/office/spreadsheetml/2017/richdata2" ref="A3:AO68">
      <sortCondition ref="A2:A68"/>
    </sortState>
  </autoFilter>
  <conditionalFormatting sqref="AL3:AL1048576">
    <cfRule type="cellIs" dxfId="60" priority="2" operator="lessThan">
      <formula>0</formula>
    </cfRule>
  </conditionalFormatting>
  <conditionalFormatting sqref="AL3:AL1048576">
    <cfRule type="cellIs" dxfId="59" priority="1" operator="greaterThan">
      <formula>0</formula>
    </cfRule>
  </conditionalFormatting>
  <hyperlinks>
    <hyperlink ref="G31" r:id="rId1" xr:uid="{4A1D3EDC-891B-40CA-80D0-B403C0C7EA5D}"/>
    <hyperlink ref="G52" r:id="rId2" xr:uid="{6D1C057E-47C8-4A7B-9FEA-53CAB123BDF7}"/>
    <hyperlink ref="G32" r:id="rId3" xr:uid="{2862F1D3-0612-4367-A4BA-919E485C3E4B}"/>
  </hyperlink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5"/>
  <dimension ref="B1:J200"/>
  <sheetViews>
    <sheetView workbookViewId="0">
      <selection activeCell="H8" sqref="H8"/>
    </sheetView>
  </sheetViews>
  <sheetFormatPr baseColWidth="10" defaultColWidth="9" defaultRowHeight="15.75" x14ac:dyDescent="0.25"/>
  <cols>
    <col min="2" max="2" width="6.5" bestFit="1" customWidth="1"/>
    <col min="3" max="3" width="22.25" bestFit="1" customWidth="1"/>
    <col min="4" max="4" width="12" bestFit="1" customWidth="1"/>
    <col min="5" max="5" width="10.75" bestFit="1" customWidth="1"/>
    <col min="6" max="6" width="18.625" bestFit="1" customWidth="1"/>
    <col min="7" max="7" width="20.75" bestFit="1" customWidth="1"/>
    <col min="8" max="10" width="10.625" bestFit="1" customWidth="1"/>
  </cols>
  <sheetData>
    <row r="1" spans="2:10" x14ac:dyDescent="0.25">
      <c r="C1" t="s">
        <v>124</v>
      </c>
      <c r="I1" t="s">
        <v>136</v>
      </c>
      <c r="J1" s="28">
        <f>E8/D5</f>
        <v>3.0420389047491281E-2</v>
      </c>
    </row>
    <row r="2" spans="2:10" x14ac:dyDescent="0.25">
      <c r="F2" t="s">
        <v>132</v>
      </c>
    </row>
    <row r="3" spans="2:10" x14ac:dyDescent="0.25">
      <c r="C3" t="s">
        <v>125</v>
      </c>
      <c r="D3" s="21">
        <f>KeyFigures!D28</f>
        <v>29</v>
      </c>
      <c r="E3" t="s">
        <v>126</v>
      </c>
      <c r="F3" s="26">
        <f>D5*G3</f>
        <v>3162.7760996254301</v>
      </c>
      <c r="G3">
        <f>(D4*(1+D4)^D3)/(((1+D4)^D3)-1)</f>
        <v>3.9220389047491283E-2</v>
      </c>
    </row>
    <row r="4" spans="2:10" x14ac:dyDescent="0.25">
      <c r="C4" t="s">
        <v>127</v>
      </c>
      <c r="D4" s="22">
        <f>KeyFigures!D27</f>
        <v>8.8000000000000005E-3</v>
      </c>
    </row>
    <row r="5" spans="2:10" x14ac:dyDescent="0.25">
      <c r="C5" t="s">
        <v>128</v>
      </c>
      <c r="D5" s="21">
        <f>KeyFigures!C26</f>
        <v>80641.119999999995</v>
      </c>
    </row>
    <row r="6" spans="2:10" x14ac:dyDescent="0.25">
      <c r="H6" s="39" t="s">
        <v>134</v>
      </c>
      <c r="I6" s="39"/>
      <c r="J6" s="39"/>
    </row>
    <row r="7" spans="2:10" x14ac:dyDescent="0.25">
      <c r="B7" s="24" t="s">
        <v>123</v>
      </c>
      <c r="C7" s="24" t="s">
        <v>129</v>
      </c>
      <c r="D7" s="24" t="s">
        <v>84</v>
      </c>
      <c r="E7" s="24" t="s">
        <v>120</v>
      </c>
      <c r="F7" s="24" t="s">
        <v>130</v>
      </c>
      <c r="G7" s="24" t="s">
        <v>131</v>
      </c>
      <c r="H7" t="s">
        <v>84</v>
      </c>
      <c r="I7" t="s">
        <v>120</v>
      </c>
      <c r="J7" t="s">
        <v>133</v>
      </c>
    </row>
    <row r="8" spans="2:10" x14ac:dyDescent="0.25">
      <c r="B8" s="25">
        <v>1</v>
      </c>
      <c r="C8" s="30">
        <f>D5</f>
        <v>80641.119999999995</v>
      </c>
      <c r="D8" s="30">
        <f>IF(B8&gt;$D$3,"",C8*$D$4)</f>
        <v>709.64185599999996</v>
      </c>
      <c r="E8" s="30">
        <f>IF(B8&gt;$D$3,"",F8-D8)</f>
        <v>2453.1342436254299</v>
      </c>
      <c r="F8" s="30">
        <f>IF(B8&gt;$D$3,"",$F$3)</f>
        <v>3162.7760996254301</v>
      </c>
      <c r="G8" s="30">
        <f>IF(OR(B8="Summe",B8&gt;$D$3),"",C8-E8)</f>
        <v>78187.985756374561</v>
      </c>
      <c r="H8" s="27">
        <f>IFERROR(D8/12,"")</f>
        <v>59.13682133333333</v>
      </c>
      <c r="I8" s="27">
        <f t="shared" ref="I8:J8" si="0">IFERROR(E8/12,"")</f>
        <v>204.42785363545249</v>
      </c>
      <c r="J8" s="27">
        <f t="shared" si="0"/>
        <v>263.56467496878582</v>
      </c>
    </row>
    <row r="9" spans="2:10" x14ac:dyDescent="0.25">
      <c r="B9" s="23">
        <f>IF($D$3&lt;B8+1,"Summe",B8+1)</f>
        <v>2</v>
      </c>
      <c r="C9" s="31">
        <f>IF(OR(B9="Summe",B9&gt;$D$3),"",G8)</f>
        <v>78187.985756374561</v>
      </c>
      <c r="D9" s="31">
        <f>IF(B9="Summe",SUM($D$8:D8),IF(B9&gt;$D$3,"",C9*$D$4))</f>
        <v>688.05427465609614</v>
      </c>
      <c r="E9" s="31">
        <f>IF(B9="Summe",SUM($E$8:E8),IF(B9&gt;$D$3,"",F9-D9))</f>
        <v>2474.7218249693342</v>
      </c>
      <c r="F9" s="31">
        <f>IF(B9="Summe",SUM($F$8:F8),IF(B9&gt;$D$3,"",$F$3))</f>
        <v>3162.7760996254301</v>
      </c>
      <c r="G9" s="31">
        <f t="shared" ref="G9:G72" si="1">IF(OR(B9="Summe",B9&gt;$D$3),"",C9-E9)</f>
        <v>75713.263931405221</v>
      </c>
      <c r="H9" s="27">
        <f t="shared" ref="H9:H72" si="2">IFERROR(D9/12,"")</f>
        <v>57.337856221341347</v>
      </c>
      <c r="I9" s="27">
        <f t="shared" ref="I9:I72" si="3">IFERROR(E9/12,"")</f>
        <v>206.22681874744453</v>
      </c>
      <c r="J9" s="27">
        <f t="shared" ref="J9:J72" si="4">IFERROR(F9/12,"")</f>
        <v>263.56467496878582</v>
      </c>
    </row>
    <row r="10" spans="2:10" x14ac:dyDescent="0.25">
      <c r="B10" s="23">
        <f>IF(OR(B9="Summe",B9=""),"",IF($D$3&lt;B9+1,"Summe",B9+1))</f>
        <v>3</v>
      </c>
      <c r="C10" s="31">
        <f t="shared" ref="C10:C73" si="5">IF(OR(B10="Summe",B10&gt;$D$3),"",G9)</f>
        <v>75713.263931405221</v>
      </c>
      <c r="D10" s="31">
        <f>IF(B10="Summe",SUM($D$8:D9),IF(B10&gt;$D$3,"",C10*$D$4))</f>
        <v>666.27672259636597</v>
      </c>
      <c r="E10" s="31">
        <f>IF(B10="Summe",SUM($E$8:E9),IF(B10&gt;$D$3,"",F10-D10))</f>
        <v>2496.4993770290639</v>
      </c>
      <c r="F10" s="31">
        <f>IF(B10="Summe",SUM($F$8:F9),IF(B10&gt;$D$3,"",$F$3))</f>
        <v>3162.7760996254301</v>
      </c>
      <c r="G10" s="31">
        <f t="shared" si="1"/>
        <v>73216.764554376161</v>
      </c>
      <c r="H10" s="27">
        <f t="shared" si="2"/>
        <v>55.523060216363831</v>
      </c>
      <c r="I10" s="27">
        <f t="shared" si="3"/>
        <v>208.04161475242199</v>
      </c>
      <c r="J10" s="27">
        <f t="shared" si="4"/>
        <v>263.56467496878582</v>
      </c>
    </row>
    <row r="11" spans="2:10" x14ac:dyDescent="0.25">
      <c r="B11" s="23">
        <f t="shared" ref="B11:B74" si="6">IF(OR(B10="Summe",B10=""),"",IF($D$3&lt;B10+1,"Summe",B10+1))</f>
        <v>4</v>
      </c>
      <c r="C11" s="31">
        <f t="shared" si="5"/>
        <v>73216.764554376161</v>
      </c>
      <c r="D11" s="31">
        <f>IF(B11="Summe",SUM($D$8:D10),IF(B11&gt;$D$3,"",C11*$D$4))</f>
        <v>644.30752807851024</v>
      </c>
      <c r="E11" s="31">
        <f>IF(B11="Summe",SUM($E$8:E10),IF(B11&gt;$D$3,"",F11-D11))</f>
        <v>2518.46857154692</v>
      </c>
      <c r="F11" s="31">
        <f>IF(B11="Summe",SUM($F$8:F10),IF(B11&gt;$D$3,"",$F$3))</f>
        <v>3162.7760996254301</v>
      </c>
      <c r="G11" s="31">
        <f t="shared" si="1"/>
        <v>70698.295982829237</v>
      </c>
      <c r="H11" s="27">
        <f t="shared" si="2"/>
        <v>53.692294006542518</v>
      </c>
      <c r="I11" s="27">
        <f t="shared" si="3"/>
        <v>209.87238096224334</v>
      </c>
      <c r="J11" s="27">
        <f t="shared" si="4"/>
        <v>263.56467496878582</v>
      </c>
    </row>
    <row r="12" spans="2:10" x14ac:dyDescent="0.25">
      <c r="B12" s="23">
        <f t="shared" si="6"/>
        <v>5</v>
      </c>
      <c r="C12" s="31">
        <f t="shared" si="5"/>
        <v>70698.295982829237</v>
      </c>
      <c r="D12" s="31">
        <f>IF(B12="Summe",SUM($D$8:D11),IF(B12&gt;$D$3,"",C12*$D$4))</f>
        <v>622.14500464889727</v>
      </c>
      <c r="E12" s="31">
        <f>IF(B12="Summe",SUM($E$8:E11),IF(B12&gt;$D$3,"",F12-D12))</f>
        <v>2540.6310949765329</v>
      </c>
      <c r="F12" s="31">
        <f>IF(B12="Summe",SUM($F$8:F11),IF(B12&gt;$D$3,"",$F$3))</f>
        <v>3162.7760996254301</v>
      </c>
      <c r="G12" s="31">
        <f t="shared" si="1"/>
        <v>68157.664887852705</v>
      </c>
      <c r="H12" s="27">
        <f t="shared" si="2"/>
        <v>51.845417054074773</v>
      </c>
      <c r="I12" s="27">
        <f t="shared" si="3"/>
        <v>211.71925791471108</v>
      </c>
      <c r="J12" s="27">
        <f t="shared" si="4"/>
        <v>263.56467496878582</v>
      </c>
    </row>
    <row r="13" spans="2:10" x14ac:dyDescent="0.25">
      <c r="B13" s="23">
        <f t="shared" si="6"/>
        <v>6</v>
      </c>
      <c r="C13" s="31">
        <f t="shared" si="5"/>
        <v>68157.664887852705</v>
      </c>
      <c r="D13" s="31">
        <f>IF(B13="Summe",SUM($D$8:D12),IF(B13&gt;$D$3,"",C13*$D$4))</f>
        <v>599.78745101310381</v>
      </c>
      <c r="E13" s="31">
        <f>IF(B13="Summe",SUM($E$8:E12),IF(B13&gt;$D$3,"",F13-D13))</f>
        <v>2562.9886486123264</v>
      </c>
      <c r="F13" s="31">
        <f>IF(B13="Summe",SUM($F$8:F12),IF(B13&gt;$D$3,"",$F$3))</f>
        <v>3162.7760996254301</v>
      </c>
      <c r="G13" s="31">
        <f t="shared" si="1"/>
        <v>65594.676239240376</v>
      </c>
      <c r="H13" s="27">
        <f t="shared" si="2"/>
        <v>49.982287584425315</v>
      </c>
      <c r="I13" s="27">
        <f t="shared" si="3"/>
        <v>213.58238738436054</v>
      </c>
      <c r="J13" s="27">
        <f t="shared" si="4"/>
        <v>263.56467496878582</v>
      </c>
    </row>
    <row r="14" spans="2:10" x14ac:dyDescent="0.25">
      <c r="B14" s="23">
        <f t="shared" si="6"/>
        <v>7</v>
      </c>
      <c r="C14" s="31">
        <f t="shared" si="5"/>
        <v>65594.676239240376</v>
      </c>
      <c r="D14" s="31">
        <f>IF(B14="Summe",SUM($D$8:D13),IF(B14&gt;$D$3,"",C14*$D$4))</f>
        <v>577.23315090531537</v>
      </c>
      <c r="E14" s="31">
        <f>IF(B14="Summe",SUM($E$8:E13),IF(B14&gt;$D$3,"",F14-D14))</f>
        <v>2585.5429487201145</v>
      </c>
      <c r="F14" s="31">
        <f>IF(B14="Summe",SUM($F$8:F13),IF(B14&gt;$D$3,"",$F$3))</f>
        <v>3162.7760996254301</v>
      </c>
      <c r="G14" s="31">
        <f t="shared" si="1"/>
        <v>63009.133290520258</v>
      </c>
      <c r="H14" s="27">
        <f t="shared" si="2"/>
        <v>48.102762575442945</v>
      </c>
      <c r="I14" s="27">
        <f t="shared" si="3"/>
        <v>215.46191239334289</v>
      </c>
      <c r="J14" s="27">
        <f t="shared" si="4"/>
        <v>263.56467496878582</v>
      </c>
    </row>
    <row r="15" spans="2:10" x14ac:dyDescent="0.25">
      <c r="B15" s="23">
        <f t="shared" si="6"/>
        <v>8</v>
      </c>
      <c r="C15" s="31">
        <f t="shared" si="5"/>
        <v>63009.133290520258</v>
      </c>
      <c r="D15" s="31">
        <f>IF(B15="Summe",SUM($D$8:D14),IF(B15&gt;$D$3,"",C15*$D$4))</f>
        <v>554.48037295657832</v>
      </c>
      <c r="E15" s="31">
        <f>IF(B15="Summe",SUM($E$8:E14),IF(B15&gt;$D$3,"",F15-D15))</f>
        <v>2608.2957266688518</v>
      </c>
      <c r="F15" s="31">
        <f>IF(B15="Summe",SUM($F$8:F14),IF(B15&gt;$D$3,"",$F$3))</f>
        <v>3162.7760996254301</v>
      </c>
      <c r="G15" s="31">
        <f t="shared" si="1"/>
        <v>60400.837563851404</v>
      </c>
      <c r="H15" s="27">
        <f t="shared" si="2"/>
        <v>46.206697746381529</v>
      </c>
      <c r="I15" s="27">
        <f t="shared" si="3"/>
        <v>217.35797722240432</v>
      </c>
      <c r="J15" s="27">
        <f t="shared" si="4"/>
        <v>263.56467496878582</v>
      </c>
    </row>
    <row r="16" spans="2:10" x14ac:dyDescent="0.25">
      <c r="B16" s="23">
        <f t="shared" si="6"/>
        <v>9</v>
      </c>
      <c r="C16" s="31">
        <f t="shared" si="5"/>
        <v>60400.837563851404</v>
      </c>
      <c r="D16" s="31">
        <f>IF(B16="Summe",SUM($D$8:D15),IF(B16&gt;$D$3,"",C16*$D$4))</f>
        <v>531.52737056189244</v>
      </c>
      <c r="E16" s="31">
        <f>IF(B16="Summe",SUM($E$8:E15),IF(B16&gt;$D$3,"",F16-D16))</f>
        <v>2631.2487290635377</v>
      </c>
      <c r="F16" s="31">
        <f>IF(B16="Summe",SUM($F$8:F15),IF(B16&gt;$D$3,"",$F$3))</f>
        <v>3162.7760996254301</v>
      </c>
      <c r="G16" s="31">
        <f t="shared" si="1"/>
        <v>57769.588834787864</v>
      </c>
      <c r="H16" s="27">
        <f t="shared" si="2"/>
        <v>44.29394754682437</v>
      </c>
      <c r="I16" s="27">
        <f t="shared" si="3"/>
        <v>219.27072742196148</v>
      </c>
      <c r="J16" s="27">
        <f t="shared" si="4"/>
        <v>263.56467496878582</v>
      </c>
    </row>
    <row r="17" spans="2:10" x14ac:dyDescent="0.25">
      <c r="B17" s="23">
        <f t="shared" si="6"/>
        <v>10</v>
      </c>
      <c r="C17" s="31">
        <f t="shared" si="5"/>
        <v>57769.588834787864</v>
      </c>
      <c r="D17" s="31">
        <f>IF(B17="Summe",SUM($D$8:D16),IF(B17&gt;$D$3,"",C17*$D$4))</f>
        <v>508.37238174613321</v>
      </c>
      <c r="E17" s="31">
        <f>IF(B17="Summe",SUM($E$8:E16),IF(B17&gt;$D$3,"",F17-D17))</f>
        <v>2654.4037178792969</v>
      </c>
      <c r="F17" s="31">
        <f>IF(B17="Summe",SUM($F$8:F16),IF(B17&gt;$D$3,"",$F$3))</f>
        <v>3162.7760996254301</v>
      </c>
      <c r="G17" s="31">
        <f t="shared" si="1"/>
        <v>55115.185116908571</v>
      </c>
      <c r="H17" s="27">
        <f t="shared" si="2"/>
        <v>42.364365145511101</v>
      </c>
      <c r="I17" s="27">
        <f t="shared" si="3"/>
        <v>221.20030982327475</v>
      </c>
      <c r="J17" s="27">
        <f t="shared" si="4"/>
        <v>263.56467496878582</v>
      </c>
    </row>
    <row r="18" spans="2:10" x14ac:dyDescent="0.25">
      <c r="B18" s="23">
        <f t="shared" si="6"/>
        <v>11</v>
      </c>
      <c r="C18" s="31">
        <f t="shared" si="5"/>
        <v>55115.185116908571</v>
      </c>
      <c r="D18" s="31">
        <f>IF(B18="Summe",SUM($D$8:D17),IF(B18&gt;$D$3,"",C18*$D$4))</f>
        <v>485.01362902879544</v>
      </c>
      <c r="E18" s="31">
        <f>IF(B18="Summe",SUM($E$8:E17),IF(B18&gt;$D$3,"",F18-D18))</f>
        <v>2677.7624705966346</v>
      </c>
      <c r="F18" s="31">
        <f>IF(B18="Summe",SUM($F$8:F17),IF(B18&gt;$D$3,"",$F$3))</f>
        <v>3162.7760996254301</v>
      </c>
      <c r="G18" s="31">
        <f t="shared" si="1"/>
        <v>52437.422646311934</v>
      </c>
      <c r="H18" s="27">
        <f t="shared" si="2"/>
        <v>40.417802419066284</v>
      </c>
      <c r="I18" s="27">
        <f t="shared" si="3"/>
        <v>223.14687254971955</v>
      </c>
      <c r="J18" s="27">
        <f t="shared" si="4"/>
        <v>263.56467496878582</v>
      </c>
    </row>
    <row r="19" spans="2:10" x14ac:dyDescent="0.25">
      <c r="B19" s="23">
        <f t="shared" si="6"/>
        <v>12</v>
      </c>
      <c r="C19" s="31">
        <f t="shared" si="5"/>
        <v>52437.422646311934</v>
      </c>
      <c r="D19" s="31">
        <f>IF(B19="Summe",SUM($D$8:D18),IF(B19&gt;$D$3,"",C19*$D$4))</f>
        <v>461.44931928754505</v>
      </c>
      <c r="E19" s="31">
        <f>IF(B19="Summe",SUM($E$8:E18),IF(B19&gt;$D$3,"",F19-D19))</f>
        <v>2701.3267803378849</v>
      </c>
      <c r="F19" s="31">
        <f>IF(B19="Summe",SUM($F$8:F18),IF(B19&gt;$D$3,"",$F$3))</f>
        <v>3162.7760996254301</v>
      </c>
      <c r="G19" s="31">
        <f t="shared" si="1"/>
        <v>49736.09586597405</v>
      </c>
      <c r="H19" s="27">
        <f t="shared" si="2"/>
        <v>38.454109940628754</v>
      </c>
      <c r="I19" s="27">
        <f t="shared" si="3"/>
        <v>225.11056502815708</v>
      </c>
      <c r="J19" s="27">
        <f t="shared" si="4"/>
        <v>263.56467496878582</v>
      </c>
    </row>
    <row r="20" spans="2:10" x14ac:dyDescent="0.25">
      <c r="B20" s="23">
        <f t="shared" si="6"/>
        <v>13</v>
      </c>
      <c r="C20" s="31">
        <f t="shared" si="5"/>
        <v>49736.09586597405</v>
      </c>
      <c r="D20" s="31">
        <f>IF(B20="Summe",SUM($D$8:D19),IF(B20&gt;$D$3,"",C20*$D$4))</f>
        <v>437.67764362057164</v>
      </c>
      <c r="E20" s="31">
        <f>IF(B20="Summe",SUM($E$8:E19),IF(B20&gt;$D$3,"",F20-D20))</f>
        <v>2725.0984560048582</v>
      </c>
      <c r="F20" s="31">
        <f>IF(B20="Summe",SUM($F$8:F19),IF(B20&gt;$D$3,"",$F$3))</f>
        <v>3162.7760996254301</v>
      </c>
      <c r="G20" s="31">
        <f t="shared" si="1"/>
        <v>47010.99740996919</v>
      </c>
      <c r="H20" s="27">
        <f t="shared" si="2"/>
        <v>36.47313696838097</v>
      </c>
      <c r="I20" s="27">
        <f t="shared" si="3"/>
        <v>227.09153800040485</v>
      </c>
      <c r="J20" s="27">
        <f t="shared" si="4"/>
        <v>263.56467496878582</v>
      </c>
    </row>
    <row r="21" spans="2:10" x14ac:dyDescent="0.25">
      <c r="B21" s="23">
        <f t="shared" si="6"/>
        <v>14</v>
      </c>
      <c r="C21" s="31">
        <f t="shared" si="5"/>
        <v>47010.99740996919</v>
      </c>
      <c r="D21" s="31">
        <f>IF(B21="Summe",SUM($D$8:D20),IF(B21&gt;$D$3,"",C21*$D$4))</f>
        <v>413.69677720772887</v>
      </c>
      <c r="E21" s="31">
        <f>IF(B21="Summe",SUM($E$8:E20),IF(B21&gt;$D$3,"",F21-D21))</f>
        <v>2749.0793224177014</v>
      </c>
      <c r="F21" s="31">
        <f>IF(B21="Summe",SUM($F$8:F20),IF(B21&gt;$D$3,"",$F$3))</f>
        <v>3162.7760996254301</v>
      </c>
      <c r="G21" s="31">
        <f t="shared" si="1"/>
        <v>44261.918087551487</v>
      </c>
      <c r="H21" s="27">
        <f t="shared" si="2"/>
        <v>34.474731433977404</v>
      </c>
      <c r="I21" s="27">
        <f t="shared" si="3"/>
        <v>229.08994353480844</v>
      </c>
      <c r="J21" s="27">
        <f t="shared" si="4"/>
        <v>263.56467496878582</v>
      </c>
    </row>
    <row r="22" spans="2:10" x14ac:dyDescent="0.25">
      <c r="B22" s="23">
        <f t="shared" si="6"/>
        <v>15</v>
      </c>
      <c r="C22" s="31">
        <f t="shared" si="5"/>
        <v>44261.918087551487</v>
      </c>
      <c r="D22" s="31">
        <f>IF(B22="Summe",SUM($D$8:D21),IF(B22&gt;$D$3,"",C22*$D$4))</f>
        <v>389.50487917045308</v>
      </c>
      <c r="E22" s="31">
        <f>IF(B22="Summe",SUM($E$8:E21),IF(B22&gt;$D$3,"",F22-D22))</f>
        <v>2773.2712204549771</v>
      </c>
      <c r="F22" s="31">
        <f>IF(B22="Summe",SUM($F$8:F21),IF(B22&gt;$D$3,"",$F$3))</f>
        <v>3162.7760996254301</v>
      </c>
      <c r="G22" s="31">
        <f t="shared" si="1"/>
        <v>41488.646867096511</v>
      </c>
      <c r="H22" s="27">
        <f t="shared" si="2"/>
        <v>32.45873993087109</v>
      </c>
      <c r="I22" s="27">
        <f t="shared" si="3"/>
        <v>231.10593503791475</v>
      </c>
      <c r="J22" s="27">
        <f t="shared" si="4"/>
        <v>263.56467496878582</v>
      </c>
    </row>
    <row r="23" spans="2:10" x14ac:dyDescent="0.25">
      <c r="B23" s="23">
        <f t="shared" si="6"/>
        <v>16</v>
      </c>
      <c r="C23" s="31">
        <f t="shared" si="5"/>
        <v>41488.646867096511</v>
      </c>
      <c r="D23" s="31">
        <f>IF(B23="Summe",SUM($D$8:D22),IF(B23&gt;$D$3,"",C23*$D$4))</f>
        <v>365.10009243044931</v>
      </c>
      <c r="E23" s="31">
        <f>IF(B23="Summe",SUM($E$8:E22),IF(B23&gt;$D$3,"",F23-D23))</f>
        <v>2797.6760071949807</v>
      </c>
      <c r="F23" s="31">
        <f>IF(B23="Summe",SUM($F$8:F22),IF(B23&gt;$D$3,"",$F$3))</f>
        <v>3162.7760996254301</v>
      </c>
      <c r="G23" s="31">
        <f t="shared" si="1"/>
        <v>38690.970859901528</v>
      </c>
      <c r="H23" s="27">
        <f t="shared" si="2"/>
        <v>30.425007702537442</v>
      </c>
      <c r="I23" s="27">
        <f t="shared" si="3"/>
        <v>233.13966726624838</v>
      </c>
      <c r="J23" s="27">
        <f t="shared" si="4"/>
        <v>263.56467496878582</v>
      </c>
    </row>
    <row r="24" spans="2:10" x14ac:dyDescent="0.25">
      <c r="B24" s="23">
        <f t="shared" si="6"/>
        <v>17</v>
      </c>
      <c r="C24" s="31">
        <f t="shared" si="5"/>
        <v>38690.970859901528</v>
      </c>
      <c r="D24" s="31">
        <f>IF(B24="Summe",SUM($D$8:D23),IF(B24&gt;$D$3,"",C24*$D$4))</f>
        <v>340.48054356713345</v>
      </c>
      <c r="E24" s="31">
        <f>IF(B24="Summe",SUM($E$8:E23),IF(B24&gt;$D$3,"",F24-D24))</f>
        <v>2822.2955560582968</v>
      </c>
      <c r="F24" s="31">
        <f>IF(B24="Summe",SUM($F$8:F23),IF(B24&gt;$D$3,"",$F$3))</f>
        <v>3162.7760996254301</v>
      </c>
      <c r="G24" s="31">
        <f t="shared" si="1"/>
        <v>35868.675303843229</v>
      </c>
      <c r="H24" s="27">
        <f t="shared" si="2"/>
        <v>28.373378630594456</v>
      </c>
      <c r="I24" s="27">
        <f t="shared" si="3"/>
        <v>235.19129633819139</v>
      </c>
      <c r="J24" s="27">
        <f t="shared" si="4"/>
        <v>263.56467496878582</v>
      </c>
    </row>
    <row r="25" spans="2:10" x14ac:dyDescent="0.25">
      <c r="B25" s="23">
        <f t="shared" si="6"/>
        <v>18</v>
      </c>
      <c r="C25" s="31">
        <f t="shared" si="5"/>
        <v>35868.675303843229</v>
      </c>
      <c r="D25" s="31">
        <f>IF(B25="Summe",SUM($D$8:D24),IF(B25&gt;$D$3,"",C25*$D$4))</f>
        <v>315.64434267382046</v>
      </c>
      <c r="E25" s="31">
        <f>IF(B25="Summe",SUM($E$8:E24),IF(B25&gt;$D$3,"",F25-D25))</f>
        <v>2847.1317569516095</v>
      </c>
      <c r="F25" s="31">
        <f>IF(B25="Summe",SUM($F$8:F24),IF(B25&gt;$D$3,"",$F$3))</f>
        <v>3162.7760996254301</v>
      </c>
      <c r="G25" s="31">
        <f t="shared" si="1"/>
        <v>33021.543546891618</v>
      </c>
      <c r="H25" s="27">
        <f t="shared" si="2"/>
        <v>26.303695222818373</v>
      </c>
      <c r="I25" s="27">
        <f t="shared" si="3"/>
        <v>237.26097974596746</v>
      </c>
      <c r="J25" s="27">
        <f t="shared" si="4"/>
        <v>263.56467496878582</v>
      </c>
    </row>
    <row r="26" spans="2:10" x14ac:dyDescent="0.25">
      <c r="B26" s="23">
        <f t="shared" si="6"/>
        <v>19</v>
      </c>
      <c r="C26" s="31">
        <f t="shared" si="5"/>
        <v>33021.543546891618</v>
      </c>
      <c r="D26" s="31">
        <f>IF(B26="Summe",SUM($D$8:D25),IF(B26&gt;$D$3,"",C26*$D$4))</f>
        <v>290.58958321264623</v>
      </c>
      <c r="E26" s="31">
        <f>IF(B26="Summe",SUM($E$8:E25),IF(B26&gt;$D$3,"",F26-D26))</f>
        <v>2872.1865164127839</v>
      </c>
      <c r="F26" s="31">
        <f>IF(B26="Summe",SUM($F$8:F25),IF(B26&gt;$D$3,"",$F$3))</f>
        <v>3162.7760996254301</v>
      </c>
      <c r="G26" s="31">
        <f t="shared" si="1"/>
        <v>30149.357030478834</v>
      </c>
      <c r="H26" s="27">
        <f t="shared" si="2"/>
        <v>24.215798601053852</v>
      </c>
      <c r="I26" s="27">
        <f t="shared" si="3"/>
        <v>239.348876367732</v>
      </c>
      <c r="J26" s="27">
        <f t="shared" si="4"/>
        <v>263.56467496878582</v>
      </c>
    </row>
    <row r="27" spans="2:10" x14ac:dyDescent="0.25">
      <c r="B27" s="23">
        <f t="shared" si="6"/>
        <v>20</v>
      </c>
      <c r="C27" s="31">
        <f t="shared" si="5"/>
        <v>30149.357030478834</v>
      </c>
      <c r="D27" s="31">
        <f>IF(B27="Summe",SUM($D$8:D26),IF(B27&gt;$D$3,"",C27*$D$4))</f>
        <v>265.31434186821377</v>
      </c>
      <c r="E27" s="31">
        <f>IF(B27="Summe",SUM($E$8:E26),IF(B27&gt;$D$3,"",F27-D27))</f>
        <v>2897.4617577572162</v>
      </c>
      <c r="F27" s="31">
        <f>IF(B27="Summe",SUM($F$8:F26),IF(B27&gt;$D$3,"",$F$3))</f>
        <v>3162.7760996254301</v>
      </c>
      <c r="G27" s="31">
        <f t="shared" si="1"/>
        <v>27251.895272721616</v>
      </c>
      <c r="H27" s="27">
        <f t="shared" si="2"/>
        <v>22.109528489017816</v>
      </c>
      <c r="I27" s="27">
        <f t="shared" si="3"/>
        <v>241.45514647976802</v>
      </c>
      <c r="J27" s="27">
        <f t="shared" si="4"/>
        <v>263.56467496878582</v>
      </c>
    </row>
    <row r="28" spans="2:10" x14ac:dyDescent="0.25">
      <c r="B28" s="23">
        <f t="shared" si="6"/>
        <v>21</v>
      </c>
      <c r="C28" s="31">
        <f t="shared" si="5"/>
        <v>27251.895272721616</v>
      </c>
      <c r="D28" s="31">
        <f>IF(B28="Summe",SUM($D$8:D27),IF(B28&gt;$D$3,"",C28*$D$4))</f>
        <v>239.81667839995023</v>
      </c>
      <c r="E28" s="31">
        <f>IF(B28="Summe",SUM($E$8:E27),IF(B28&gt;$D$3,"",F28-D28))</f>
        <v>2922.9594212254797</v>
      </c>
      <c r="F28" s="31">
        <f>IF(B28="Summe",SUM($F$8:F27),IF(B28&gt;$D$3,"",$F$3))</f>
        <v>3162.7760996254301</v>
      </c>
      <c r="G28" s="31">
        <f t="shared" si="1"/>
        <v>24328.935851496135</v>
      </c>
      <c r="H28" s="27">
        <f t="shared" si="2"/>
        <v>19.984723199995852</v>
      </c>
      <c r="I28" s="27">
        <f t="shared" si="3"/>
        <v>243.57995176878998</v>
      </c>
      <c r="J28" s="27">
        <f t="shared" si="4"/>
        <v>263.56467496878582</v>
      </c>
    </row>
    <row r="29" spans="2:10" x14ac:dyDescent="0.25">
      <c r="B29" s="23">
        <f t="shared" si="6"/>
        <v>22</v>
      </c>
      <c r="C29" s="31">
        <f t="shared" si="5"/>
        <v>24328.935851496135</v>
      </c>
      <c r="D29" s="31">
        <f>IF(B29="Summe",SUM($D$8:D28),IF(B29&gt;$D$3,"",C29*$D$4))</f>
        <v>214.09463549316601</v>
      </c>
      <c r="E29" s="31">
        <f>IF(B29="Summe",SUM($E$8:E28),IF(B29&gt;$D$3,"",F29-D29))</f>
        <v>2948.681464132264</v>
      </c>
      <c r="F29" s="31">
        <f>IF(B29="Summe",SUM($F$8:F28),IF(B29&gt;$D$3,"",$F$3))</f>
        <v>3162.7760996254301</v>
      </c>
      <c r="G29" s="31">
        <f t="shared" si="1"/>
        <v>21380.254387363872</v>
      </c>
      <c r="H29" s="27">
        <f t="shared" si="2"/>
        <v>17.841219624430501</v>
      </c>
      <c r="I29" s="27">
        <f t="shared" si="3"/>
        <v>245.72345534435533</v>
      </c>
      <c r="J29" s="27">
        <f t="shared" si="4"/>
        <v>263.56467496878582</v>
      </c>
    </row>
    <row r="30" spans="2:10" x14ac:dyDescent="0.25">
      <c r="B30" s="23">
        <f t="shared" si="6"/>
        <v>23</v>
      </c>
      <c r="C30" s="31">
        <f t="shared" si="5"/>
        <v>21380.254387363872</v>
      </c>
      <c r="D30" s="31">
        <f>IF(B30="Summe",SUM($D$8:D29),IF(B30&gt;$D$3,"",C30*$D$4))</f>
        <v>188.14623860880209</v>
      </c>
      <c r="E30" s="31">
        <f>IF(B30="Summe",SUM($E$8:E29),IF(B30&gt;$D$3,"",F30-D30))</f>
        <v>2974.6298610166282</v>
      </c>
      <c r="F30" s="31">
        <f>IF(B30="Summe",SUM($F$8:F29),IF(B30&gt;$D$3,"",$F$3))</f>
        <v>3162.7760996254301</v>
      </c>
      <c r="G30" s="31">
        <f t="shared" si="1"/>
        <v>18405.624526347245</v>
      </c>
      <c r="H30" s="27">
        <f t="shared" si="2"/>
        <v>15.678853217400174</v>
      </c>
      <c r="I30" s="27">
        <f t="shared" si="3"/>
        <v>247.88582175138569</v>
      </c>
      <c r="J30" s="27">
        <f t="shared" si="4"/>
        <v>263.56467496878582</v>
      </c>
    </row>
    <row r="31" spans="2:10" x14ac:dyDescent="0.25">
      <c r="B31" s="23">
        <f t="shared" si="6"/>
        <v>24</v>
      </c>
      <c r="C31" s="31">
        <f t="shared" si="5"/>
        <v>18405.624526347245</v>
      </c>
      <c r="D31" s="31">
        <f>IF(B31="Summe",SUM($D$8:D30),IF(B31&gt;$D$3,"",C31*$D$4))</f>
        <v>161.96949583185577</v>
      </c>
      <c r="E31" s="31">
        <f>IF(B31="Summe",SUM($E$8:E30),IF(B31&gt;$D$3,"",F31-D31))</f>
        <v>3000.8066037935741</v>
      </c>
      <c r="F31" s="31">
        <f>IF(B31="Summe",SUM($F$8:F30),IF(B31&gt;$D$3,"",$F$3))</f>
        <v>3162.7760996254301</v>
      </c>
      <c r="G31" s="31">
        <f t="shared" si="1"/>
        <v>15404.81792255367</v>
      </c>
      <c r="H31" s="27">
        <f t="shared" si="2"/>
        <v>13.49745798598798</v>
      </c>
      <c r="I31" s="27">
        <f t="shared" si="3"/>
        <v>250.06721698279785</v>
      </c>
      <c r="J31" s="27">
        <f t="shared" si="4"/>
        <v>263.56467496878582</v>
      </c>
    </row>
    <row r="32" spans="2:10" x14ac:dyDescent="0.25">
      <c r="B32" s="23">
        <f t="shared" si="6"/>
        <v>25</v>
      </c>
      <c r="C32" s="31">
        <f t="shared" si="5"/>
        <v>15404.81792255367</v>
      </c>
      <c r="D32" s="31">
        <f>IF(B32="Summe",SUM($D$8:D31),IF(B32&gt;$D$3,"",C32*$D$4))</f>
        <v>135.56239771847231</v>
      </c>
      <c r="E32" s="31">
        <f>IF(B32="Summe",SUM($E$8:E31),IF(B32&gt;$D$3,"",F32-D32))</f>
        <v>3027.2137019069578</v>
      </c>
      <c r="F32" s="31">
        <f>IF(B32="Summe",SUM($F$8:F31),IF(B32&gt;$D$3,"",$F$3))</f>
        <v>3162.7760996254301</v>
      </c>
      <c r="G32" s="31">
        <f t="shared" si="1"/>
        <v>12377.604220646712</v>
      </c>
      <c r="H32" s="27">
        <f t="shared" si="2"/>
        <v>11.296866476539359</v>
      </c>
      <c r="I32" s="27">
        <f t="shared" si="3"/>
        <v>252.26780849224647</v>
      </c>
      <c r="J32" s="27">
        <f t="shared" si="4"/>
        <v>263.56467496878582</v>
      </c>
    </row>
    <row r="33" spans="2:10" x14ac:dyDescent="0.25">
      <c r="B33" s="23">
        <f t="shared" si="6"/>
        <v>26</v>
      </c>
      <c r="C33" s="31">
        <f t="shared" si="5"/>
        <v>12377.604220646712</v>
      </c>
      <c r="D33" s="31">
        <f>IF(B33="Summe",SUM($D$8:D32),IF(B33&gt;$D$3,"",C33*$D$4))</f>
        <v>108.92291714169107</v>
      </c>
      <c r="E33" s="31">
        <f>IF(B33="Summe",SUM($E$8:E32),IF(B33&gt;$D$3,"",F33-D33))</f>
        <v>3053.8531824837391</v>
      </c>
      <c r="F33" s="31">
        <f>IF(B33="Summe",SUM($F$8:F32),IF(B33&gt;$D$3,"",$F$3))</f>
        <v>3162.7760996254301</v>
      </c>
      <c r="G33" s="31">
        <f t="shared" si="1"/>
        <v>9323.7510381629727</v>
      </c>
      <c r="H33" s="27">
        <f t="shared" si="2"/>
        <v>9.07690976180759</v>
      </c>
      <c r="I33" s="27">
        <f t="shared" si="3"/>
        <v>254.48776520697825</v>
      </c>
      <c r="J33" s="27">
        <f t="shared" si="4"/>
        <v>263.56467496878582</v>
      </c>
    </row>
    <row r="34" spans="2:10" x14ac:dyDescent="0.25">
      <c r="B34" s="23">
        <f t="shared" si="6"/>
        <v>27</v>
      </c>
      <c r="C34" s="31">
        <f t="shared" si="5"/>
        <v>9323.7510381629727</v>
      </c>
      <c r="D34" s="31">
        <f>IF(B34="Summe",SUM($D$8:D33),IF(B34&gt;$D$3,"",C34*$D$4))</f>
        <v>82.049009135834169</v>
      </c>
      <c r="E34" s="31">
        <f>IF(B34="Summe",SUM($E$8:E33),IF(B34&gt;$D$3,"",F34-D34))</f>
        <v>3080.7270904895959</v>
      </c>
      <c r="F34" s="31">
        <f>IF(B34="Summe",SUM($F$8:F33),IF(B34&gt;$D$3,"",$F$3))</f>
        <v>3162.7760996254301</v>
      </c>
      <c r="G34" s="31">
        <f t="shared" si="1"/>
        <v>6243.0239476733768</v>
      </c>
      <c r="H34" s="27">
        <f t="shared" si="2"/>
        <v>6.837417427986181</v>
      </c>
      <c r="I34" s="27">
        <f t="shared" si="3"/>
        <v>256.72725754079966</v>
      </c>
      <c r="J34" s="27">
        <f t="shared" si="4"/>
        <v>263.56467496878582</v>
      </c>
    </row>
    <row r="35" spans="2:10" x14ac:dyDescent="0.25">
      <c r="B35" s="23">
        <f t="shared" si="6"/>
        <v>28</v>
      </c>
      <c r="C35" s="31">
        <f t="shared" si="5"/>
        <v>6243.0239476733768</v>
      </c>
      <c r="D35" s="31">
        <f>IF(B35="Summe",SUM($D$8:D34),IF(B35&gt;$D$3,"",C35*$D$4))</f>
        <v>54.938610739525721</v>
      </c>
      <c r="E35" s="31">
        <f>IF(B35="Summe",SUM($E$8:E34),IF(B35&gt;$D$3,"",F35-D35))</f>
        <v>3107.8374888859043</v>
      </c>
      <c r="F35" s="31">
        <f>IF(B35="Summe",SUM($F$8:F34),IF(B35&gt;$D$3,"",$F$3))</f>
        <v>3162.7760996254301</v>
      </c>
      <c r="G35" s="31">
        <f t="shared" si="1"/>
        <v>3135.1864587874725</v>
      </c>
      <c r="H35" s="27">
        <f t="shared" si="2"/>
        <v>4.5782175616271434</v>
      </c>
      <c r="I35" s="27">
        <f t="shared" si="3"/>
        <v>258.9864574071587</v>
      </c>
      <c r="J35" s="27">
        <f t="shared" si="4"/>
        <v>263.56467496878582</v>
      </c>
    </row>
    <row r="36" spans="2:10" x14ac:dyDescent="0.25">
      <c r="B36" s="23">
        <f t="shared" si="6"/>
        <v>29</v>
      </c>
      <c r="C36" s="31">
        <f t="shared" si="5"/>
        <v>3135.1864587874725</v>
      </c>
      <c r="D36" s="31">
        <f>IF(B36="Summe",SUM($D$8:D35),IF(B36&gt;$D$3,"",C36*$D$4))</f>
        <v>27.58964083732976</v>
      </c>
      <c r="E36" s="31">
        <f>IF(B36="Summe",SUM($E$8:E35),IF(B36&gt;$D$3,"",F36-D36))</f>
        <v>3135.1864587881005</v>
      </c>
      <c r="F36" s="31">
        <f>IF(B36="Summe",SUM($F$8:F35),IF(B36&gt;$D$3,"",$F$3))</f>
        <v>3162.7760996254301</v>
      </c>
      <c r="G36" s="31">
        <f t="shared" si="1"/>
        <v>-6.2800609157420695E-10</v>
      </c>
      <c r="H36" s="27">
        <f t="shared" si="2"/>
        <v>2.2991367364441468</v>
      </c>
      <c r="I36" s="27">
        <f t="shared" si="3"/>
        <v>261.26553823234173</v>
      </c>
      <c r="J36" s="27">
        <f t="shared" si="4"/>
        <v>263.56467496878582</v>
      </c>
    </row>
    <row r="37" spans="2:10" x14ac:dyDescent="0.25">
      <c r="B37" s="23" t="str">
        <f t="shared" si="6"/>
        <v>Summe</v>
      </c>
      <c r="C37" s="31" t="str">
        <f t="shared" si="5"/>
        <v/>
      </c>
      <c r="D37" s="31">
        <f>IF(B37="Summe",SUM($D$8:D36),IF(B37&gt;$D$3,"",C37*$D$4))</f>
        <v>11079.386889136877</v>
      </c>
      <c r="E37" s="31">
        <f>IF(B37="Summe",SUM($E$8:E36),IF(B37&gt;$D$3,"",F37-D37))</f>
        <v>80641.120000000607</v>
      </c>
      <c r="F37" s="31">
        <f>IF(B37="Summe",SUM($F$8:F36),IF(B37&gt;$D$3,"",$F$3))</f>
        <v>91720.506889137512</v>
      </c>
      <c r="G37" s="31" t="str">
        <f t="shared" si="1"/>
        <v/>
      </c>
      <c r="H37" s="27">
        <f t="shared" si="2"/>
        <v>923.28224076140634</v>
      </c>
      <c r="I37" s="27">
        <f t="shared" si="3"/>
        <v>6720.0933333333842</v>
      </c>
      <c r="J37" s="27">
        <f t="shared" si="4"/>
        <v>7643.3755740947927</v>
      </c>
    </row>
    <row r="38" spans="2:10" x14ac:dyDescent="0.25">
      <c r="B38" s="23" t="str">
        <f t="shared" si="6"/>
        <v/>
      </c>
      <c r="C38" s="31" t="str">
        <f t="shared" si="5"/>
        <v/>
      </c>
      <c r="D38" s="31" t="str">
        <f>IF(B38="Summe",SUM($D$8:D37),IF(B38&gt;$D$3,"",C38*$D$4))</f>
        <v/>
      </c>
      <c r="E38" s="31" t="str">
        <f>IF(B38="Summe",SUM($E$8:E37),IF(B38&gt;$D$3,"",F38-D38))</f>
        <v/>
      </c>
      <c r="F38" s="31" t="str">
        <f>IF(B38="Summe",SUM($F$8:F37),IF(B38&gt;$D$3,"",$F$3))</f>
        <v/>
      </c>
      <c r="G38" s="31" t="str">
        <f t="shared" si="1"/>
        <v/>
      </c>
      <c r="H38" s="27" t="str">
        <f t="shared" si="2"/>
        <v/>
      </c>
      <c r="I38" s="27" t="str">
        <f t="shared" si="3"/>
        <v/>
      </c>
      <c r="J38" s="27" t="str">
        <f t="shared" si="4"/>
        <v/>
      </c>
    </row>
    <row r="39" spans="2:10" x14ac:dyDescent="0.25">
      <c r="B39" s="23" t="str">
        <f t="shared" si="6"/>
        <v/>
      </c>
      <c r="C39" s="31" t="str">
        <f t="shared" si="5"/>
        <v/>
      </c>
      <c r="D39" s="31" t="str">
        <f>IF(B39="Summe",SUM($D$8:D38),IF(B39&gt;$D$3,"",C39*$D$4))</f>
        <v/>
      </c>
      <c r="E39" s="31" t="str">
        <f>IF(B39="Summe",SUM($E$8:E38),IF(B39&gt;$D$3,"",F39-D39))</f>
        <v/>
      </c>
      <c r="F39" s="31" t="str">
        <f>IF(B39="Summe",SUM($F$8:F38),IF(B39&gt;$D$3,"",$F$3))</f>
        <v/>
      </c>
      <c r="G39" s="31" t="str">
        <f t="shared" si="1"/>
        <v/>
      </c>
      <c r="H39" s="27" t="str">
        <f t="shared" si="2"/>
        <v/>
      </c>
      <c r="I39" s="27" t="str">
        <f t="shared" si="3"/>
        <v/>
      </c>
      <c r="J39" s="27" t="str">
        <f t="shared" si="4"/>
        <v/>
      </c>
    </row>
    <row r="40" spans="2:10" x14ac:dyDescent="0.25">
      <c r="B40" s="23" t="str">
        <f t="shared" si="6"/>
        <v/>
      </c>
      <c r="C40" s="31" t="str">
        <f t="shared" si="5"/>
        <v/>
      </c>
      <c r="D40" s="31" t="str">
        <f>IF(B40="Summe",SUM($D$8:D39),IF(B40&gt;$D$3,"",C40*$D$4))</f>
        <v/>
      </c>
      <c r="E40" s="31" t="str">
        <f>IF(B40="Summe",SUM($E$8:E39),IF(B40&gt;$D$3,"",F40-D40))</f>
        <v/>
      </c>
      <c r="F40" s="31" t="str">
        <f>IF(B40="Summe",SUM($F$8:F39),IF(B40&gt;$D$3,"",$F$3))</f>
        <v/>
      </c>
      <c r="G40" s="31" t="str">
        <f t="shared" si="1"/>
        <v/>
      </c>
      <c r="H40" s="27" t="str">
        <f t="shared" si="2"/>
        <v/>
      </c>
      <c r="I40" s="27" t="str">
        <f t="shared" si="3"/>
        <v/>
      </c>
      <c r="J40" s="27" t="str">
        <f t="shared" si="4"/>
        <v/>
      </c>
    </row>
    <row r="41" spans="2:10" x14ac:dyDescent="0.25">
      <c r="B41" s="23" t="str">
        <f t="shared" si="6"/>
        <v/>
      </c>
      <c r="C41" s="31" t="str">
        <f t="shared" si="5"/>
        <v/>
      </c>
      <c r="D41" s="31" t="str">
        <f>IF(B41="Summe",SUM($D$8:D40),IF(B41&gt;$D$3,"",C41*$D$4))</f>
        <v/>
      </c>
      <c r="E41" s="31" t="str">
        <f>IF(B41="Summe",SUM($E$8:E40),IF(B41&gt;$D$3,"",F41-D41))</f>
        <v/>
      </c>
      <c r="F41" s="31" t="str">
        <f>IF(B41="Summe",SUM($F$8:F40),IF(B41&gt;$D$3,"",$F$3))</f>
        <v/>
      </c>
      <c r="G41" s="31" t="str">
        <f t="shared" si="1"/>
        <v/>
      </c>
      <c r="H41" s="27" t="str">
        <f t="shared" si="2"/>
        <v/>
      </c>
      <c r="I41" s="27" t="str">
        <f t="shared" si="3"/>
        <v/>
      </c>
      <c r="J41" s="27" t="str">
        <f t="shared" si="4"/>
        <v/>
      </c>
    </row>
    <row r="42" spans="2:10" x14ac:dyDescent="0.25">
      <c r="B42" s="23" t="str">
        <f t="shared" si="6"/>
        <v/>
      </c>
      <c r="C42" s="31" t="str">
        <f t="shared" si="5"/>
        <v/>
      </c>
      <c r="D42" s="31" t="str">
        <f>IF(B42="Summe",SUM($D$8:D41),IF(B42&gt;$D$3,"",C42*$D$4))</f>
        <v/>
      </c>
      <c r="E42" s="31" t="str">
        <f>IF(B42="Summe",SUM($E$8:E41),IF(B42&gt;$D$3,"",F42-D42))</f>
        <v/>
      </c>
      <c r="F42" s="31" t="str">
        <f>IF(B42="Summe",SUM($F$8:F41),IF(B42&gt;$D$3,"",$F$3))</f>
        <v/>
      </c>
      <c r="G42" s="31" t="str">
        <f t="shared" si="1"/>
        <v/>
      </c>
      <c r="H42" s="27" t="str">
        <f t="shared" si="2"/>
        <v/>
      </c>
      <c r="I42" s="27" t="str">
        <f t="shared" si="3"/>
        <v/>
      </c>
      <c r="J42" s="27" t="str">
        <f t="shared" si="4"/>
        <v/>
      </c>
    </row>
    <row r="43" spans="2:10" x14ac:dyDescent="0.25">
      <c r="B43" s="23" t="str">
        <f t="shared" si="6"/>
        <v/>
      </c>
      <c r="C43" s="31" t="str">
        <f t="shared" si="5"/>
        <v/>
      </c>
      <c r="D43" s="31" t="str">
        <f>IF(B43="Summe",SUM($D$8:D42),IF(B43&gt;$D$3,"",C43*$D$4))</f>
        <v/>
      </c>
      <c r="E43" s="31" t="str">
        <f>IF(B43="Summe",SUM($E$8:E42),IF(B43&gt;$D$3,"",F43-D43))</f>
        <v/>
      </c>
      <c r="F43" s="31" t="str">
        <f>IF(B43="Summe",SUM($F$8:F42),IF(B43&gt;$D$3,"",$F$3))</f>
        <v/>
      </c>
      <c r="G43" s="31" t="str">
        <f t="shared" si="1"/>
        <v/>
      </c>
      <c r="H43" s="27" t="str">
        <f t="shared" si="2"/>
        <v/>
      </c>
      <c r="I43" s="27" t="str">
        <f t="shared" si="3"/>
        <v/>
      </c>
      <c r="J43" s="27" t="str">
        <f t="shared" si="4"/>
        <v/>
      </c>
    </row>
    <row r="44" spans="2:10" x14ac:dyDescent="0.25">
      <c r="B44" s="23" t="str">
        <f t="shared" si="6"/>
        <v/>
      </c>
      <c r="C44" s="31" t="str">
        <f t="shared" si="5"/>
        <v/>
      </c>
      <c r="D44" s="31" t="str">
        <f>IF(B44="Summe",SUM($D$8:D43),IF(B44&gt;$D$3,"",C44*$D$4))</f>
        <v/>
      </c>
      <c r="E44" s="31" t="str">
        <f>IF(B44="Summe",SUM($E$8:E43),IF(B44&gt;$D$3,"",F44-D44))</f>
        <v/>
      </c>
      <c r="F44" s="31" t="str">
        <f>IF(B44="Summe",SUM($F$8:F43),IF(B44&gt;$D$3,"",$F$3))</f>
        <v/>
      </c>
      <c r="G44" s="31" t="str">
        <f t="shared" si="1"/>
        <v/>
      </c>
      <c r="H44" s="27" t="str">
        <f t="shared" si="2"/>
        <v/>
      </c>
      <c r="I44" s="27" t="str">
        <f t="shared" si="3"/>
        <v/>
      </c>
      <c r="J44" s="27" t="str">
        <f t="shared" si="4"/>
        <v/>
      </c>
    </row>
    <row r="45" spans="2:10" x14ac:dyDescent="0.25">
      <c r="B45" s="23" t="str">
        <f t="shared" si="6"/>
        <v/>
      </c>
      <c r="C45" s="31" t="str">
        <f t="shared" si="5"/>
        <v/>
      </c>
      <c r="D45" s="31" t="str">
        <f>IF(B45="Summe",SUM($D$8:D44),IF(B45&gt;$D$3,"",C45*$D$4))</f>
        <v/>
      </c>
      <c r="E45" s="31" t="str">
        <f>IF(B45="Summe",SUM($E$8:E44),IF(B45&gt;$D$3,"",F45-D45))</f>
        <v/>
      </c>
      <c r="F45" s="31" t="str">
        <f>IF(B45="Summe",SUM($F$8:F44),IF(B45&gt;$D$3,"",$F$3))</f>
        <v/>
      </c>
      <c r="G45" s="31" t="str">
        <f t="shared" si="1"/>
        <v/>
      </c>
      <c r="H45" s="27" t="str">
        <f t="shared" si="2"/>
        <v/>
      </c>
      <c r="I45" s="27" t="str">
        <f t="shared" si="3"/>
        <v/>
      </c>
      <c r="J45" s="27" t="str">
        <f t="shared" si="4"/>
        <v/>
      </c>
    </row>
    <row r="46" spans="2:10" x14ac:dyDescent="0.25">
      <c r="B46" s="23" t="str">
        <f t="shared" si="6"/>
        <v/>
      </c>
      <c r="C46" s="31" t="str">
        <f t="shared" si="5"/>
        <v/>
      </c>
      <c r="D46" s="31" t="str">
        <f>IF(B46="Summe",SUM($D$8:D45),IF(B46&gt;$D$3,"",C46*$D$4))</f>
        <v/>
      </c>
      <c r="E46" s="31" t="str">
        <f>IF(B46="Summe",SUM($E$8:E45),IF(B46&gt;$D$3,"",F46-D46))</f>
        <v/>
      </c>
      <c r="F46" s="31" t="str">
        <f>IF(B46="Summe",SUM($F$8:F45),IF(B46&gt;$D$3,"",$F$3))</f>
        <v/>
      </c>
      <c r="G46" s="31" t="str">
        <f t="shared" si="1"/>
        <v/>
      </c>
      <c r="H46" s="27" t="str">
        <f t="shared" si="2"/>
        <v/>
      </c>
      <c r="I46" s="27" t="str">
        <f t="shared" si="3"/>
        <v/>
      </c>
      <c r="J46" s="27" t="str">
        <f t="shared" si="4"/>
        <v/>
      </c>
    </row>
    <row r="47" spans="2:10" x14ac:dyDescent="0.25">
      <c r="B47" s="23" t="str">
        <f t="shared" si="6"/>
        <v/>
      </c>
      <c r="C47" s="31" t="str">
        <f t="shared" si="5"/>
        <v/>
      </c>
      <c r="D47" s="31" t="str">
        <f>IF(B47="Summe",SUM($D$8:D46),IF(B47&gt;$D$3,"",C47*$D$4))</f>
        <v/>
      </c>
      <c r="E47" s="31" t="str">
        <f>IF(B47="Summe",SUM($E$8:E46),IF(B47&gt;$D$3,"",F47-D47))</f>
        <v/>
      </c>
      <c r="F47" s="31" t="str">
        <f>IF(B47="Summe",SUM($F$8:F46),IF(B47&gt;$D$3,"",$F$3))</f>
        <v/>
      </c>
      <c r="G47" s="31" t="str">
        <f t="shared" si="1"/>
        <v/>
      </c>
      <c r="H47" s="27" t="str">
        <f t="shared" si="2"/>
        <v/>
      </c>
      <c r="I47" s="27" t="str">
        <f t="shared" si="3"/>
        <v/>
      </c>
      <c r="J47" s="27" t="str">
        <f t="shared" si="4"/>
        <v/>
      </c>
    </row>
    <row r="48" spans="2:10" x14ac:dyDescent="0.25">
      <c r="B48" s="23" t="str">
        <f t="shared" si="6"/>
        <v/>
      </c>
      <c r="C48" s="31" t="str">
        <f t="shared" si="5"/>
        <v/>
      </c>
      <c r="D48" s="31" t="str">
        <f>IF(B48="Summe",SUM($D$8:D47),IF(B48&gt;$D$3,"",C48*$D$4))</f>
        <v/>
      </c>
      <c r="E48" s="31" t="str">
        <f>IF(B48="Summe",SUM($E$8:E47),IF(B48&gt;$D$3,"",F48-D48))</f>
        <v/>
      </c>
      <c r="F48" s="31" t="str">
        <f>IF(B48="Summe",SUM($F$8:F47),IF(B48&gt;$D$3,"",$F$3))</f>
        <v/>
      </c>
      <c r="G48" s="31" t="str">
        <f t="shared" si="1"/>
        <v/>
      </c>
      <c r="H48" s="27" t="str">
        <f t="shared" si="2"/>
        <v/>
      </c>
      <c r="I48" s="27" t="str">
        <f t="shared" si="3"/>
        <v/>
      </c>
      <c r="J48" s="27" t="str">
        <f t="shared" si="4"/>
        <v/>
      </c>
    </row>
    <row r="49" spans="2:10" x14ac:dyDescent="0.25">
      <c r="B49" s="23" t="str">
        <f t="shared" si="6"/>
        <v/>
      </c>
      <c r="C49" s="31" t="str">
        <f t="shared" si="5"/>
        <v/>
      </c>
      <c r="D49" s="31" t="str">
        <f>IF(B49="Summe",SUM($D$8:D48),IF(B49&gt;$D$3,"",C49*$D$4))</f>
        <v/>
      </c>
      <c r="E49" s="31" t="str">
        <f>IF(B49="Summe",SUM($E$8:E48),IF(B49&gt;$D$3,"",F49-D49))</f>
        <v/>
      </c>
      <c r="F49" s="31" t="str">
        <f>IF(B49="Summe",SUM($F$8:F48),IF(B49&gt;$D$3,"",$F$3))</f>
        <v/>
      </c>
      <c r="G49" s="31" t="str">
        <f t="shared" si="1"/>
        <v/>
      </c>
      <c r="H49" s="27" t="str">
        <f t="shared" si="2"/>
        <v/>
      </c>
      <c r="I49" s="27" t="str">
        <f t="shared" si="3"/>
        <v/>
      </c>
      <c r="J49" s="27" t="str">
        <f t="shared" si="4"/>
        <v/>
      </c>
    </row>
    <row r="50" spans="2:10" x14ac:dyDescent="0.25">
      <c r="B50" s="23" t="str">
        <f t="shared" si="6"/>
        <v/>
      </c>
      <c r="C50" s="31" t="str">
        <f t="shared" si="5"/>
        <v/>
      </c>
      <c r="D50" s="31" t="str">
        <f>IF(B50="Summe",SUM($D$8:D49),IF(B50&gt;$D$3,"",C50*$D$4))</f>
        <v/>
      </c>
      <c r="E50" s="31" t="str">
        <f>IF(B50="Summe",SUM($E$8:E49),IF(B50&gt;$D$3,"",F50-D50))</f>
        <v/>
      </c>
      <c r="F50" s="31" t="str">
        <f>IF(B50="Summe",SUM($F$8:F49),IF(B50&gt;$D$3,"",$F$3))</f>
        <v/>
      </c>
      <c r="G50" s="31" t="str">
        <f t="shared" si="1"/>
        <v/>
      </c>
      <c r="H50" s="27" t="str">
        <f t="shared" si="2"/>
        <v/>
      </c>
      <c r="I50" s="27" t="str">
        <f t="shared" si="3"/>
        <v/>
      </c>
      <c r="J50" s="27" t="str">
        <f t="shared" si="4"/>
        <v/>
      </c>
    </row>
    <row r="51" spans="2:10" x14ac:dyDescent="0.25">
      <c r="B51" s="23" t="str">
        <f t="shared" si="6"/>
        <v/>
      </c>
      <c r="C51" s="31" t="str">
        <f t="shared" si="5"/>
        <v/>
      </c>
      <c r="D51" s="31" t="str">
        <f>IF(B51="Summe",SUM($D$8:D50),IF(B51&gt;$D$3,"",C51*$D$4))</f>
        <v/>
      </c>
      <c r="E51" s="31" t="str">
        <f>IF(B51="Summe",SUM($E$8:E50),IF(B51&gt;$D$3,"",F51-D51))</f>
        <v/>
      </c>
      <c r="F51" s="31" t="str">
        <f>IF(B51="Summe",SUM($F$8:F50),IF(B51&gt;$D$3,"",$F$3))</f>
        <v/>
      </c>
      <c r="G51" s="31" t="str">
        <f t="shared" si="1"/>
        <v/>
      </c>
      <c r="H51" s="27" t="str">
        <f t="shared" si="2"/>
        <v/>
      </c>
      <c r="I51" s="27" t="str">
        <f t="shared" si="3"/>
        <v/>
      </c>
      <c r="J51" s="27" t="str">
        <f t="shared" si="4"/>
        <v/>
      </c>
    </row>
    <row r="52" spans="2:10" x14ac:dyDescent="0.25">
      <c r="B52" s="23" t="str">
        <f t="shared" si="6"/>
        <v/>
      </c>
      <c r="C52" s="31" t="str">
        <f t="shared" si="5"/>
        <v/>
      </c>
      <c r="D52" s="31" t="str">
        <f>IF(B52="Summe",SUM($D$8:D51),IF(B52&gt;$D$3,"",C52*$D$4))</f>
        <v/>
      </c>
      <c r="E52" s="31" t="str">
        <f>IF(B52="Summe",SUM($E$8:E51),IF(B52&gt;$D$3,"",F52-D52))</f>
        <v/>
      </c>
      <c r="F52" s="31" t="str">
        <f>IF(B52="Summe",SUM($F$8:F51),IF(B52&gt;$D$3,"",$F$3))</f>
        <v/>
      </c>
      <c r="G52" s="31" t="str">
        <f t="shared" si="1"/>
        <v/>
      </c>
      <c r="H52" s="27" t="str">
        <f t="shared" si="2"/>
        <v/>
      </c>
      <c r="I52" s="27" t="str">
        <f t="shared" si="3"/>
        <v/>
      </c>
      <c r="J52" s="27" t="str">
        <f t="shared" si="4"/>
        <v/>
      </c>
    </row>
    <row r="53" spans="2:10" x14ac:dyDescent="0.25">
      <c r="B53" s="23" t="str">
        <f t="shared" si="6"/>
        <v/>
      </c>
      <c r="C53" s="31" t="str">
        <f t="shared" si="5"/>
        <v/>
      </c>
      <c r="D53" s="31" t="str">
        <f>IF(B53="Summe",SUM($D$8:D52),IF(B53&gt;$D$3,"",C53*$D$4))</f>
        <v/>
      </c>
      <c r="E53" s="31" t="str">
        <f>IF(B53="Summe",SUM($E$8:E52),IF(B53&gt;$D$3,"",F53-D53))</f>
        <v/>
      </c>
      <c r="F53" s="31" t="str">
        <f>IF(B53="Summe",SUM($F$8:F52),IF(B53&gt;$D$3,"",$F$3))</f>
        <v/>
      </c>
      <c r="G53" s="31" t="str">
        <f t="shared" si="1"/>
        <v/>
      </c>
      <c r="H53" s="27" t="str">
        <f t="shared" si="2"/>
        <v/>
      </c>
      <c r="I53" s="27" t="str">
        <f t="shared" si="3"/>
        <v/>
      </c>
      <c r="J53" s="27" t="str">
        <f t="shared" si="4"/>
        <v/>
      </c>
    </row>
    <row r="54" spans="2:10" x14ac:dyDescent="0.25">
      <c r="B54" s="23" t="str">
        <f t="shared" si="6"/>
        <v/>
      </c>
      <c r="C54" s="31" t="str">
        <f t="shared" si="5"/>
        <v/>
      </c>
      <c r="D54" s="31" t="str">
        <f>IF(B54="Summe",SUM($D$8:D53),IF(B54&gt;$D$3,"",C54*$D$4))</f>
        <v/>
      </c>
      <c r="E54" s="31" t="str">
        <f>IF(B54="Summe",SUM($E$8:E53),IF(B54&gt;$D$3,"",F54-D54))</f>
        <v/>
      </c>
      <c r="F54" s="31" t="str">
        <f>IF(B54="Summe",SUM($F$8:F53),IF(B54&gt;$D$3,"",$F$3))</f>
        <v/>
      </c>
      <c r="G54" s="31" t="str">
        <f t="shared" si="1"/>
        <v/>
      </c>
      <c r="H54" s="27" t="str">
        <f t="shared" si="2"/>
        <v/>
      </c>
      <c r="I54" s="27" t="str">
        <f t="shared" si="3"/>
        <v/>
      </c>
      <c r="J54" s="27" t="str">
        <f t="shared" si="4"/>
        <v/>
      </c>
    </row>
    <row r="55" spans="2:10" x14ac:dyDescent="0.25">
      <c r="B55" s="23" t="str">
        <f t="shared" si="6"/>
        <v/>
      </c>
      <c r="C55" s="31" t="str">
        <f t="shared" si="5"/>
        <v/>
      </c>
      <c r="D55" s="31" t="str">
        <f>IF(B55="Summe",SUM($D$8:D54),IF(B55&gt;$D$3,"",C55*$D$4))</f>
        <v/>
      </c>
      <c r="E55" s="31" t="str">
        <f>IF(B55="Summe",SUM($E$8:E54),IF(B55&gt;$D$3,"",F55-D55))</f>
        <v/>
      </c>
      <c r="F55" s="31" t="str">
        <f>IF(B55="Summe",SUM($F$8:F54),IF(B55&gt;$D$3,"",$F$3))</f>
        <v/>
      </c>
      <c r="G55" s="31" t="str">
        <f t="shared" si="1"/>
        <v/>
      </c>
      <c r="H55" s="27" t="str">
        <f t="shared" si="2"/>
        <v/>
      </c>
      <c r="I55" s="27" t="str">
        <f t="shared" si="3"/>
        <v/>
      </c>
      <c r="J55" s="27" t="str">
        <f t="shared" si="4"/>
        <v/>
      </c>
    </row>
    <row r="56" spans="2:10" x14ac:dyDescent="0.25">
      <c r="B56" s="23" t="str">
        <f t="shared" si="6"/>
        <v/>
      </c>
      <c r="C56" s="31" t="str">
        <f t="shared" si="5"/>
        <v/>
      </c>
      <c r="D56" s="31" t="str">
        <f>IF(B56="Summe",SUM($D$8:D55),IF(B56&gt;$D$3,"",C56*$D$4))</f>
        <v/>
      </c>
      <c r="E56" s="31" t="str">
        <f>IF(B56="Summe",SUM($E$8:E55),IF(B56&gt;$D$3,"",F56-D56))</f>
        <v/>
      </c>
      <c r="F56" s="31" t="str">
        <f>IF(B56="Summe",SUM($F$8:F55),IF(B56&gt;$D$3,"",$F$3))</f>
        <v/>
      </c>
      <c r="G56" s="31" t="str">
        <f t="shared" si="1"/>
        <v/>
      </c>
      <c r="H56" s="27" t="str">
        <f t="shared" si="2"/>
        <v/>
      </c>
      <c r="I56" s="27" t="str">
        <f t="shared" si="3"/>
        <v/>
      </c>
      <c r="J56" s="27" t="str">
        <f t="shared" si="4"/>
        <v/>
      </c>
    </row>
    <row r="57" spans="2:10" x14ac:dyDescent="0.25">
      <c r="B57" s="23" t="str">
        <f t="shared" si="6"/>
        <v/>
      </c>
      <c r="C57" s="31" t="str">
        <f t="shared" si="5"/>
        <v/>
      </c>
      <c r="D57" s="31" t="str">
        <f>IF(B57="Summe",SUM($D$8:D56),IF(B57&gt;$D$3,"",C57*$D$4))</f>
        <v/>
      </c>
      <c r="E57" s="31" t="str">
        <f>IF(B57="Summe",SUM($E$8:E56),IF(B57&gt;$D$3,"",F57-D57))</f>
        <v/>
      </c>
      <c r="F57" s="31" t="str">
        <f>IF(B57="Summe",SUM($F$8:F56),IF(B57&gt;$D$3,"",$F$3))</f>
        <v/>
      </c>
      <c r="G57" s="31" t="str">
        <f t="shared" si="1"/>
        <v/>
      </c>
      <c r="H57" s="27" t="str">
        <f t="shared" si="2"/>
        <v/>
      </c>
      <c r="I57" s="27" t="str">
        <f t="shared" si="3"/>
        <v/>
      </c>
      <c r="J57" s="27" t="str">
        <f t="shared" si="4"/>
        <v/>
      </c>
    </row>
    <row r="58" spans="2:10" x14ac:dyDescent="0.25">
      <c r="B58" s="23" t="str">
        <f t="shared" si="6"/>
        <v/>
      </c>
      <c r="C58" s="31" t="str">
        <f t="shared" si="5"/>
        <v/>
      </c>
      <c r="D58" s="31" t="str">
        <f>IF(B58="Summe",SUM($D$8:D57),IF(B58&gt;$D$3,"",C58*$D$4))</f>
        <v/>
      </c>
      <c r="E58" s="31" t="str">
        <f>IF(B58="Summe",SUM($E$8:E57),IF(B58&gt;$D$3,"",F58-D58))</f>
        <v/>
      </c>
      <c r="F58" s="31" t="str">
        <f>IF(B58="Summe",SUM($F$8:F57),IF(B58&gt;$D$3,"",$F$3))</f>
        <v/>
      </c>
      <c r="G58" s="31" t="str">
        <f t="shared" si="1"/>
        <v/>
      </c>
      <c r="H58" s="27" t="str">
        <f t="shared" si="2"/>
        <v/>
      </c>
      <c r="I58" s="27" t="str">
        <f t="shared" si="3"/>
        <v/>
      </c>
      <c r="J58" s="27" t="str">
        <f t="shared" si="4"/>
        <v/>
      </c>
    </row>
    <row r="59" spans="2:10" x14ac:dyDescent="0.25">
      <c r="B59" s="23" t="str">
        <f t="shared" si="6"/>
        <v/>
      </c>
      <c r="C59" s="31" t="str">
        <f t="shared" si="5"/>
        <v/>
      </c>
      <c r="D59" s="31" t="str">
        <f>IF(B59="Summe",SUM($D$8:D58),IF(B59&gt;$D$3,"",C59*$D$4))</f>
        <v/>
      </c>
      <c r="E59" s="31" t="str">
        <f>IF(B59="Summe",SUM($E$8:E58),IF(B59&gt;$D$3,"",F59-D59))</f>
        <v/>
      </c>
      <c r="F59" s="31" t="str">
        <f>IF(B59="Summe",SUM($F$8:F58),IF(B59&gt;$D$3,"",$F$3))</f>
        <v/>
      </c>
      <c r="G59" s="31" t="str">
        <f t="shared" si="1"/>
        <v/>
      </c>
      <c r="H59" s="27" t="str">
        <f t="shared" si="2"/>
        <v/>
      </c>
      <c r="I59" s="27" t="str">
        <f t="shared" si="3"/>
        <v/>
      </c>
      <c r="J59" s="27" t="str">
        <f t="shared" si="4"/>
        <v/>
      </c>
    </row>
    <row r="60" spans="2:10" x14ac:dyDescent="0.25">
      <c r="B60" s="23" t="str">
        <f t="shared" si="6"/>
        <v/>
      </c>
      <c r="C60" s="31" t="str">
        <f t="shared" si="5"/>
        <v/>
      </c>
      <c r="D60" s="31" t="str">
        <f>IF(B60="Summe",SUM($D$8:D59),IF(B60&gt;$D$3,"",C60*$D$4))</f>
        <v/>
      </c>
      <c r="E60" s="31" t="str">
        <f>IF(B60="Summe",SUM($E$8:E59),IF(B60&gt;$D$3,"",F60-D60))</f>
        <v/>
      </c>
      <c r="F60" s="31" t="str">
        <f>IF(B60="Summe",SUM($F$8:F59),IF(B60&gt;$D$3,"",$F$3))</f>
        <v/>
      </c>
      <c r="G60" s="31" t="str">
        <f t="shared" si="1"/>
        <v/>
      </c>
      <c r="H60" s="27" t="str">
        <f t="shared" si="2"/>
        <v/>
      </c>
      <c r="I60" s="27" t="str">
        <f t="shared" si="3"/>
        <v/>
      </c>
      <c r="J60" s="27" t="str">
        <f t="shared" si="4"/>
        <v/>
      </c>
    </row>
    <row r="61" spans="2:10" x14ac:dyDescent="0.25">
      <c r="B61" s="23" t="str">
        <f t="shared" si="6"/>
        <v/>
      </c>
      <c r="C61" s="31" t="str">
        <f t="shared" si="5"/>
        <v/>
      </c>
      <c r="D61" s="31" t="str">
        <f>IF(B61="Summe",SUM($D$8:D60),IF(B61&gt;$D$3,"",C61*$D$4))</f>
        <v/>
      </c>
      <c r="E61" s="31" t="str">
        <f>IF(B61="Summe",SUM($E$8:E60),IF(B61&gt;$D$3,"",F61-D61))</f>
        <v/>
      </c>
      <c r="F61" s="31" t="str">
        <f>IF(B61="Summe",SUM($F$8:F60),IF(B61&gt;$D$3,"",$F$3))</f>
        <v/>
      </c>
      <c r="G61" s="31" t="str">
        <f t="shared" si="1"/>
        <v/>
      </c>
      <c r="H61" s="27" t="str">
        <f t="shared" si="2"/>
        <v/>
      </c>
      <c r="I61" s="27" t="str">
        <f t="shared" si="3"/>
        <v/>
      </c>
      <c r="J61" s="27" t="str">
        <f t="shared" si="4"/>
        <v/>
      </c>
    </row>
    <row r="62" spans="2:10" x14ac:dyDescent="0.25">
      <c r="B62" s="23" t="str">
        <f t="shared" si="6"/>
        <v/>
      </c>
      <c r="C62" s="31" t="str">
        <f t="shared" si="5"/>
        <v/>
      </c>
      <c r="D62" s="31" t="str">
        <f>IF(B62="Summe",SUM($D$8:D61),IF(B62&gt;$D$3,"",C62*$D$4))</f>
        <v/>
      </c>
      <c r="E62" s="31" t="str">
        <f>IF(B62="Summe",SUM($E$8:E61),IF(B62&gt;$D$3,"",F62-D62))</f>
        <v/>
      </c>
      <c r="F62" s="31" t="str">
        <f>IF(B62="Summe",SUM($F$8:F61),IF(B62&gt;$D$3,"",$F$3))</f>
        <v/>
      </c>
      <c r="G62" s="31" t="str">
        <f t="shared" si="1"/>
        <v/>
      </c>
      <c r="H62" s="27" t="str">
        <f t="shared" si="2"/>
        <v/>
      </c>
      <c r="I62" s="27" t="str">
        <f t="shared" si="3"/>
        <v/>
      </c>
      <c r="J62" s="27" t="str">
        <f t="shared" si="4"/>
        <v/>
      </c>
    </row>
    <row r="63" spans="2:10" x14ac:dyDescent="0.25">
      <c r="B63" s="23" t="str">
        <f t="shared" si="6"/>
        <v/>
      </c>
      <c r="C63" s="31" t="str">
        <f t="shared" si="5"/>
        <v/>
      </c>
      <c r="D63" s="31" t="str">
        <f>IF(B63="Summe",SUM($D$8:D62),IF(B63&gt;$D$3,"",C63*$D$4))</f>
        <v/>
      </c>
      <c r="E63" s="31" t="str">
        <f>IF(B63="Summe",SUM($E$8:E62),IF(B63&gt;$D$3,"",F63-D63))</f>
        <v/>
      </c>
      <c r="F63" s="31" t="str">
        <f>IF(B63="Summe",SUM($F$8:F62),IF(B63&gt;$D$3,"",$F$3))</f>
        <v/>
      </c>
      <c r="G63" s="31" t="str">
        <f t="shared" si="1"/>
        <v/>
      </c>
      <c r="H63" s="27" t="str">
        <f t="shared" si="2"/>
        <v/>
      </c>
      <c r="I63" s="27" t="str">
        <f t="shared" si="3"/>
        <v/>
      </c>
      <c r="J63" s="27" t="str">
        <f t="shared" si="4"/>
        <v/>
      </c>
    </row>
    <row r="64" spans="2:10" x14ac:dyDescent="0.25">
      <c r="B64" s="23" t="str">
        <f t="shared" si="6"/>
        <v/>
      </c>
      <c r="C64" s="31" t="str">
        <f t="shared" si="5"/>
        <v/>
      </c>
      <c r="D64" s="31" t="str">
        <f>IF(B64="Summe",SUM($D$8:D63),IF(B64&gt;$D$3,"",C64*$D$4))</f>
        <v/>
      </c>
      <c r="E64" s="31" t="str">
        <f>IF(B64="Summe",SUM($E$8:E63),IF(B64&gt;$D$3,"",F64-D64))</f>
        <v/>
      </c>
      <c r="F64" s="31" t="str">
        <f>IF(B64="Summe",SUM($F$8:F63),IF(B64&gt;$D$3,"",$F$3))</f>
        <v/>
      </c>
      <c r="G64" s="31" t="str">
        <f t="shared" si="1"/>
        <v/>
      </c>
      <c r="H64" s="27" t="str">
        <f t="shared" si="2"/>
        <v/>
      </c>
      <c r="I64" s="27" t="str">
        <f t="shared" si="3"/>
        <v/>
      </c>
      <c r="J64" s="27" t="str">
        <f t="shared" si="4"/>
        <v/>
      </c>
    </row>
    <row r="65" spans="2:10" x14ac:dyDescent="0.25">
      <c r="B65" s="23" t="str">
        <f t="shared" si="6"/>
        <v/>
      </c>
      <c r="C65" s="31" t="str">
        <f t="shared" si="5"/>
        <v/>
      </c>
      <c r="D65" s="31" t="str">
        <f>IF(B65="Summe",SUM($D$8:D64),IF(B65&gt;$D$3,"",C65*$D$4))</f>
        <v/>
      </c>
      <c r="E65" s="31" t="str">
        <f>IF(B65="Summe",SUM($E$8:E64),IF(B65&gt;$D$3,"",F65-D65))</f>
        <v/>
      </c>
      <c r="F65" s="31" t="str">
        <f>IF(B65="Summe",SUM($F$8:F64),IF(B65&gt;$D$3,"",$F$3))</f>
        <v/>
      </c>
      <c r="G65" s="31" t="str">
        <f t="shared" si="1"/>
        <v/>
      </c>
      <c r="H65" s="27" t="str">
        <f t="shared" si="2"/>
        <v/>
      </c>
      <c r="I65" s="27" t="str">
        <f t="shared" si="3"/>
        <v/>
      </c>
      <c r="J65" s="27" t="str">
        <f t="shared" si="4"/>
        <v/>
      </c>
    </row>
    <row r="66" spans="2:10" x14ac:dyDescent="0.25">
      <c r="B66" s="23" t="str">
        <f t="shared" si="6"/>
        <v/>
      </c>
      <c r="C66" s="31" t="str">
        <f t="shared" si="5"/>
        <v/>
      </c>
      <c r="D66" s="31" t="str">
        <f>IF(B66="Summe",SUM($D$8:D65),IF(B66&gt;$D$3,"",C66*$D$4))</f>
        <v/>
      </c>
      <c r="E66" s="31" t="str">
        <f>IF(B66="Summe",SUM($E$8:E65),IF(B66&gt;$D$3,"",F66-D66))</f>
        <v/>
      </c>
      <c r="F66" s="31" t="str">
        <f>IF(B66="Summe",SUM($F$8:F65),IF(B66&gt;$D$3,"",$F$3))</f>
        <v/>
      </c>
      <c r="G66" s="31" t="str">
        <f t="shared" si="1"/>
        <v/>
      </c>
      <c r="H66" s="27" t="str">
        <f t="shared" si="2"/>
        <v/>
      </c>
      <c r="I66" s="27" t="str">
        <f t="shared" si="3"/>
        <v/>
      </c>
      <c r="J66" s="27" t="str">
        <f t="shared" si="4"/>
        <v/>
      </c>
    </row>
    <row r="67" spans="2:10" x14ac:dyDescent="0.25">
      <c r="B67" s="23" t="str">
        <f t="shared" si="6"/>
        <v/>
      </c>
      <c r="C67" s="31" t="str">
        <f t="shared" si="5"/>
        <v/>
      </c>
      <c r="D67" s="31" t="str">
        <f>IF(B67="Summe",SUM($D$8:D66),IF(B67&gt;$D$3,"",C67*$D$4))</f>
        <v/>
      </c>
      <c r="E67" s="31" t="str">
        <f>IF(B67="Summe",SUM($E$8:E66),IF(B67&gt;$D$3,"",F67-D67))</f>
        <v/>
      </c>
      <c r="F67" s="31" t="str">
        <f>IF(B67="Summe",SUM($F$8:F66),IF(B67&gt;$D$3,"",$F$3))</f>
        <v/>
      </c>
      <c r="G67" s="31" t="str">
        <f t="shared" si="1"/>
        <v/>
      </c>
      <c r="H67" s="27" t="str">
        <f t="shared" si="2"/>
        <v/>
      </c>
      <c r="I67" s="27" t="str">
        <f t="shared" si="3"/>
        <v/>
      </c>
      <c r="J67" s="27" t="str">
        <f t="shared" si="4"/>
        <v/>
      </c>
    </row>
    <row r="68" spans="2:10" x14ac:dyDescent="0.25">
      <c r="B68" s="23" t="str">
        <f t="shared" si="6"/>
        <v/>
      </c>
      <c r="C68" s="31" t="str">
        <f t="shared" si="5"/>
        <v/>
      </c>
      <c r="D68" s="31" t="str">
        <f>IF(B68="Summe",SUM($D$8:D67),IF(B68&gt;$D$3,"",C68*$D$4))</f>
        <v/>
      </c>
      <c r="E68" s="31" t="str">
        <f>IF(B68="Summe",SUM($E$8:E67),IF(B68&gt;$D$3,"",F68-D68))</f>
        <v/>
      </c>
      <c r="F68" s="31" t="str">
        <f>IF(B68="Summe",SUM($F$8:F67),IF(B68&gt;$D$3,"",$F$3))</f>
        <v/>
      </c>
      <c r="G68" s="31" t="str">
        <f t="shared" si="1"/>
        <v/>
      </c>
      <c r="H68" s="27" t="str">
        <f t="shared" si="2"/>
        <v/>
      </c>
      <c r="I68" s="27" t="str">
        <f t="shared" si="3"/>
        <v/>
      </c>
      <c r="J68" s="27" t="str">
        <f t="shared" si="4"/>
        <v/>
      </c>
    </row>
    <row r="69" spans="2:10" x14ac:dyDescent="0.25">
      <c r="B69" s="23" t="str">
        <f t="shared" si="6"/>
        <v/>
      </c>
      <c r="C69" s="31" t="str">
        <f t="shared" si="5"/>
        <v/>
      </c>
      <c r="D69" s="31" t="str">
        <f>IF(B69="Summe",SUM($D$8:D68),IF(B69&gt;$D$3,"",C69*$D$4))</f>
        <v/>
      </c>
      <c r="E69" s="31" t="str">
        <f>IF(B69="Summe",SUM($E$8:E68),IF(B69&gt;$D$3,"",F69-D69))</f>
        <v/>
      </c>
      <c r="F69" s="31" t="str">
        <f>IF(B69="Summe",SUM($F$8:F68),IF(B69&gt;$D$3,"",$F$3))</f>
        <v/>
      </c>
      <c r="G69" s="31" t="str">
        <f t="shared" si="1"/>
        <v/>
      </c>
      <c r="H69" s="27" t="str">
        <f t="shared" si="2"/>
        <v/>
      </c>
      <c r="I69" s="27" t="str">
        <f t="shared" si="3"/>
        <v/>
      </c>
      <c r="J69" s="27" t="str">
        <f t="shared" si="4"/>
        <v/>
      </c>
    </row>
    <row r="70" spans="2:10" x14ac:dyDescent="0.25">
      <c r="B70" s="23" t="str">
        <f t="shared" si="6"/>
        <v/>
      </c>
      <c r="C70" s="31" t="str">
        <f t="shared" si="5"/>
        <v/>
      </c>
      <c r="D70" s="31" t="str">
        <f>IF(B70="Summe",SUM($D$8:D69),IF(B70&gt;$D$3,"",C70*$D$4))</f>
        <v/>
      </c>
      <c r="E70" s="31" t="str">
        <f>IF(B70="Summe",SUM($E$8:E69),IF(B70&gt;$D$3,"",F70-D70))</f>
        <v/>
      </c>
      <c r="F70" s="31" t="str">
        <f>IF(B70="Summe",SUM($F$8:F69),IF(B70&gt;$D$3,"",$F$3))</f>
        <v/>
      </c>
      <c r="G70" s="31" t="str">
        <f t="shared" si="1"/>
        <v/>
      </c>
      <c r="H70" s="27" t="str">
        <f t="shared" si="2"/>
        <v/>
      </c>
      <c r="I70" s="27" t="str">
        <f t="shared" si="3"/>
        <v/>
      </c>
      <c r="J70" s="27" t="str">
        <f t="shared" si="4"/>
        <v/>
      </c>
    </row>
    <row r="71" spans="2:10" x14ac:dyDescent="0.25">
      <c r="B71" s="23" t="str">
        <f t="shared" si="6"/>
        <v/>
      </c>
      <c r="C71" s="31" t="str">
        <f t="shared" si="5"/>
        <v/>
      </c>
      <c r="D71" s="31" t="str">
        <f>IF(B71="Summe",SUM($D$8:D70),IF(B71&gt;$D$3,"",C71*$D$4))</f>
        <v/>
      </c>
      <c r="E71" s="31" t="str">
        <f>IF(B71="Summe",SUM($E$8:E70),IF(B71&gt;$D$3,"",F71-D71))</f>
        <v/>
      </c>
      <c r="F71" s="31" t="str">
        <f>IF(B71="Summe",SUM($F$8:F70),IF(B71&gt;$D$3,"",$F$3))</f>
        <v/>
      </c>
      <c r="G71" s="31" t="str">
        <f t="shared" si="1"/>
        <v/>
      </c>
      <c r="H71" s="27" t="str">
        <f t="shared" si="2"/>
        <v/>
      </c>
      <c r="I71" s="27" t="str">
        <f t="shared" si="3"/>
        <v/>
      </c>
      <c r="J71" s="27" t="str">
        <f t="shared" si="4"/>
        <v/>
      </c>
    </row>
    <row r="72" spans="2:10" x14ac:dyDescent="0.25">
      <c r="B72" s="23" t="str">
        <f t="shared" si="6"/>
        <v/>
      </c>
      <c r="C72" s="31" t="str">
        <f t="shared" si="5"/>
        <v/>
      </c>
      <c r="D72" s="31" t="str">
        <f>IF(B72="Summe",SUM($D$8:D71),IF(B72&gt;$D$3,"",C72*$D$4))</f>
        <v/>
      </c>
      <c r="E72" s="31" t="str">
        <f>IF(B72="Summe",SUM($E$8:E71),IF(B72&gt;$D$3,"",F72-D72))</f>
        <v/>
      </c>
      <c r="F72" s="31" t="str">
        <f>IF(B72="Summe",SUM($F$8:F71),IF(B72&gt;$D$3,"",$F$3))</f>
        <v/>
      </c>
      <c r="G72" s="31" t="str">
        <f t="shared" si="1"/>
        <v/>
      </c>
      <c r="H72" s="27" t="str">
        <f t="shared" si="2"/>
        <v/>
      </c>
      <c r="I72" s="27" t="str">
        <f t="shared" si="3"/>
        <v/>
      </c>
      <c r="J72" s="27" t="str">
        <f t="shared" si="4"/>
        <v/>
      </c>
    </row>
    <row r="73" spans="2:10" x14ac:dyDescent="0.25">
      <c r="B73" s="23" t="str">
        <f t="shared" si="6"/>
        <v/>
      </c>
      <c r="C73" s="31" t="str">
        <f t="shared" si="5"/>
        <v/>
      </c>
      <c r="D73" s="31" t="str">
        <f>IF(B73="Summe",SUM($D$8:D72),IF(B73&gt;$D$3,"",C73*$D$4))</f>
        <v/>
      </c>
      <c r="E73" s="31" t="str">
        <f>IF(B73="Summe",SUM($E$8:E72),IF(B73&gt;$D$3,"",F73-D73))</f>
        <v/>
      </c>
      <c r="F73" s="31" t="str">
        <f>IF(B73="Summe",SUM($F$8:F72),IF(B73&gt;$D$3,"",$F$3))</f>
        <v/>
      </c>
      <c r="G73" s="31" t="str">
        <f t="shared" ref="G73:G136" si="7">IF(OR(B73="Summe",B73&gt;$D$3),"",C73-E73)</f>
        <v/>
      </c>
      <c r="H73" s="27" t="str">
        <f t="shared" ref="H73:H136" si="8">IFERROR(D73/12,"")</f>
        <v/>
      </c>
      <c r="I73" s="27" t="str">
        <f t="shared" ref="I73:I136" si="9">IFERROR(E73/12,"")</f>
        <v/>
      </c>
      <c r="J73" s="27" t="str">
        <f t="shared" ref="J73:J136" si="10">IFERROR(F73/12,"")</f>
        <v/>
      </c>
    </row>
    <row r="74" spans="2:10" x14ac:dyDescent="0.25">
      <c r="B74" s="23" t="str">
        <f t="shared" si="6"/>
        <v/>
      </c>
      <c r="C74" s="31" t="str">
        <f t="shared" ref="C74:C137" si="11">IF(OR(B74="Summe",B74&gt;$D$3),"",G73)</f>
        <v/>
      </c>
      <c r="D74" s="31" t="str">
        <f>IF(B74="Summe",SUM($D$8:D73),IF(B74&gt;$D$3,"",C74*$D$4))</f>
        <v/>
      </c>
      <c r="E74" s="31" t="str">
        <f>IF(B74="Summe",SUM($E$8:E73),IF(B74&gt;$D$3,"",F74-D74))</f>
        <v/>
      </c>
      <c r="F74" s="31" t="str">
        <f>IF(B74="Summe",SUM($F$8:F73),IF(B74&gt;$D$3,"",$F$3))</f>
        <v/>
      </c>
      <c r="G74" s="31" t="str">
        <f t="shared" si="7"/>
        <v/>
      </c>
      <c r="H74" s="27" t="str">
        <f t="shared" si="8"/>
        <v/>
      </c>
      <c r="I74" s="27" t="str">
        <f t="shared" si="9"/>
        <v/>
      </c>
      <c r="J74" s="27" t="str">
        <f t="shared" si="10"/>
        <v/>
      </c>
    </row>
    <row r="75" spans="2:10" x14ac:dyDescent="0.25">
      <c r="B75" s="23" t="str">
        <f t="shared" ref="B75:B138" si="12">IF(OR(B74="Summe",B74=""),"",IF($D$3&lt;B74+1,"Summe",B74+1))</f>
        <v/>
      </c>
      <c r="C75" s="31" t="str">
        <f t="shared" si="11"/>
        <v/>
      </c>
      <c r="D75" s="31" t="str">
        <f>IF(B75="Summe",SUM($D$8:D74),IF(B75&gt;$D$3,"",C75*$D$4))</f>
        <v/>
      </c>
      <c r="E75" s="31" t="str">
        <f>IF(B75="Summe",SUM($E$8:E74),IF(B75&gt;$D$3,"",F75-D75))</f>
        <v/>
      </c>
      <c r="F75" s="31" t="str">
        <f>IF(B75="Summe",SUM($F$8:F74),IF(B75&gt;$D$3,"",$F$3))</f>
        <v/>
      </c>
      <c r="G75" s="31" t="str">
        <f t="shared" si="7"/>
        <v/>
      </c>
      <c r="H75" s="27" t="str">
        <f t="shared" si="8"/>
        <v/>
      </c>
      <c r="I75" s="27" t="str">
        <f t="shared" si="9"/>
        <v/>
      </c>
      <c r="J75" s="27" t="str">
        <f t="shared" si="10"/>
        <v/>
      </c>
    </row>
    <row r="76" spans="2:10" x14ac:dyDescent="0.25">
      <c r="B76" s="23" t="str">
        <f t="shared" si="12"/>
        <v/>
      </c>
      <c r="C76" s="31" t="str">
        <f t="shared" si="11"/>
        <v/>
      </c>
      <c r="D76" s="31" t="str">
        <f>IF(B76="Summe",SUM($D$8:D75),IF(B76&gt;$D$3,"",C76*$D$4))</f>
        <v/>
      </c>
      <c r="E76" s="31" t="str">
        <f>IF(B76="Summe",SUM($E$8:E75),IF(B76&gt;$D$3,"",F76-D76))</f>
        <v/>
      </c>
      <c r="F76" s="31" t="str">
        <f>IF(B76="Summe",SUM($F$8:F75),IF(B76&gt;$D$3,"",$F$3))</f>
        <v/>
      </c>
      <c r="G76" s="31" t="str">
        <f t="shared" si="7"/>
        <v/>
      </c>
      <c r="H76" s="27" t="str">
        <f t="shared" si="8"/>
        <v/>
      </c>
      <c r="I76" s="27" t="str">
        <f t="shared" si="9"/>
        <v/>
      </c>
      <c r="J76" s="27" t="str">
        <f t="shared" si="10"/>
        <v/>
      </c>
    </row>
    <row r="77" spans="2:10" x14ac:dyDescent="0.25">
      <c r="B77" s="23" t="str">
        <f t="shared" si="12"/>
        <v/>
      </c>
      <c r="C77" s="31" t="str">
        <f t="shared" si="11"/>
        <v/>
      </c>
      <c r="D77" s="31" t="str">
        <f>IF(B77="Summe",SUM($D$8:D76),IF(B77&gt;$D$3,"",C77*$D$4))</f>
        <v/>
      </c>
      <c r="E77" s="31" t="str">
        <f>IF(B77="Summe",SUM($E$8:E76),IF(B77&gt;$D$3,"",F77-D77))</f>
        <v/>
      </c>
      <c r="F77" s="31" t="str">
        <f>IF(B77="Summe",SUM($F$8:F76),IF(B77&gt;$D$3,"",$F$3))</f>
        <v/>
      </c>
      <c r="G77" s="31" t="str">
        <f t="shared" si="7"/>
        <v/>
      </c>
      <c r="H77" s="27" t="str">
        <f t="shared" si="8"/>
        <v/>
      </c>
      <c r="I77" s="27" t="str">
        <f t="shared" si="9"/>
        <v/>
      </c>
      <c r="J77" s="27" t="str">
        <f t="shared" si="10"/>
        <v/>
      </c>
    </row>
    <row r="78" spans="2:10" x14ac:dyDescent="0.25">
      <c r="B78" s="23" t="str">
        <f t="shared" si="12"/>
        <v/>
      </c>
      <c r="C78" s="31" t="str">
        <f t="shared" si="11"/>
        <v/>
      </c>
      <c r="D78" s="31" t="str">
        <f>IF(B78="Summe",SUM($D$8:D77),IF(B78&gt;$D$3,"",C78*$D$4))</f>
        <v/>
      </c>
      <c r="E78" s="31" t="str">
        <f>IF(B78="Summe",SUM($E$8:E77),IF(B78&gt;$D$3,"",F78-D78))</f>
        <v/>
      </c>
      <c r="F78" s="31" t="str">
        <f>IF(B78="Summe",SUM($F$8:F77),IF(B78&gt;$D$3,"",$F$3))</f>
        <v/>
      </c>
      <c r="G78" s="31" t="str">
        <f t="shared" si="7"/>
        <v/>
      </c>
      <c r="H78" s="27" t="str">
        <f t="shared" si="8"/>
        <v/>
      </c>
      <c r="I78" s="27" t="str">
        <f t="shared" si="9"/>
        <v/>
      </c>
      <c r="J78" s="27" t="str">
        <f t="shared" si="10"/>
        <v/>
      </c>
    </row>
    <row r="79" spans="2:10" x14ac:dyDescent="0.25">
      <c r="B79" s="23" t="str">
        <f t="shared" si="12"/>
        <v/>
      </c>
      <c r="C79" s="31" t="str">
        <f t="shared" si="11"/>
        <v/>
      </c>
      <c r="D79" s="31" t="str">
        <f>IF(B79="Summe",SUM($D$8:D78),IF(B79&gt;$D$3,"",C79*$D$4))</f>
        <v/>
      </c>
      <c r="E79" s="31" t="str">
        <f>IF(B79="Summe",SUM($E$8:E78),IF(B79&gt;$D$3,"",F79-D79))</f>
        <v/>
      </c>
      <c r="F79" s="31" t="str">
        <f>IF(B79="Summe",SUM($F$8:F78),IF(B79&gt;$D$3,"",$F$3))</f>
        <v/>
      </c>
      <c r="G79" s="31" t="str">
        <f t="shared" si="7"/>
        <v/>
      </c>
      <c r="H79" s="27" t="str">
        <f t="shared" si="8"/>
        <v/>
      </c>
      <c r="I79" s="27" t="str">
        <f t="shared" si="9"/>
        <v/>
      </c>
      <c r="J79" s="27" t="str">
        <f t="shared" si="10"/>
        <v/>
      </c>
    </row>
    <row r="80" spans="2:10" x14ac:dyDescent="0.25">
      <c r="B80" s="23" t="str">
        <f t="shared" si="12"/>
        <v/>
      </c>
      <c r="C80" s="31" t="str">
        <f t="shared" si="11"/>
        <v/>
      </c>
      <c r="D80" s="31" t="str">
        <f>IF(B80="Summe",SUM($D$8:D79),IF(B80&gt;$D$3,"",C80*$D$4))</f>
        <v/>
      </c>
      <c r="E80" s="31" t="str">
        <f>IF(B80="Summe",SUM($E$8:E79),IF(B80&gt;$D$3,"",F80-D80))</f>
        <v/>
      </c>
      <c r="F80" s="31" t="str">
        <f>IF(B80="Summe",SUM($F$8:F79),IF(B80&gt;$D$3,"",$F$3))</f>
        <v/>
      </c>
      <c r="G80" s="31" t="str">
        <f t="shared" si="7"/>
        <v/>
      </c>
      <c r="H80" s="27" t="str">
        <f t="shared" si="8"/>
        <v/>
      </c>
      <c r="I80" s="27" t="str">
        <f t="shared" si="9"/>
        <v/>
      </c>
      <c r="J80" s="27" t="str">
        <f t="shared" si="10"/>
        <v/>
      </c>
    </row>
    <row r="81" spans="2:10" x14ac:dyDescent="0.25">
      <c r="B81" s="23" t="str">
        <f t="shared" si="12"/>
        <v/>
      </c>
      <c r="C81" s="31" t="str">
        <f t="shared" si="11"/>
        <v/>
      </c>
      <c r="D81" s="31" t="str">
        <f>IF(B81="Summe",SUM($D$8:D80),IF(B81&gt;$D$3,"",C81*$D$4))</f>
        <v/>
      </c>
      <c r="E81" s="31" t="str">
        <f>IF(B81="Summe",SUM($E$8:E80),IF(B81&gt;$D$3,"",F81-D81))</f>
        <v/>
      </c>
      <c r="F81" s="31" t="str">
        <f>IF(B81="Summe",SUM($F$8:F80),IF(B81&gt;$D$3,"",$F$3))</f>
        <v/>
      </c>
      <c r="G81" s="31" t="str">
        <f t="shared" si="7"/>
        <v/>
      </c>
      <c r="H81" s="27" t="str">
        <f t="shared" si="8"/>
        <v/>
      </c>
      <c r="I81" s="27" t="str">
        <f t="shared" si="9"/>
        <v/>
      </c>
      <c r="J81" s="27" t="str">
        <f t="shared" si="10"/>
        <v/>
      </c>
    </row>
    <row r="82" spans="2:10" x14ac:dyDescent="0.25">
      <c r="B82" s="23" t="str">
        <f t="shared" si="12"/>
        <v/>
      </c>
      <c r="C82" s="31" t="str">
        <f t="shared" si="11"/>
        <v/>
      </c>
      <c r="D82" s="31" t="str">
        <f>IF(B82="Summe",SUM($D$8:D81),IF(B82&gt;$D$3,"",C82*$D$4))</f>
        <v/>
      </c>
      <c r="E82" s="31" t="str">
        <f>IF(B82="Summe",SUM($E$8:E81),IF(B82&gt;$D$3,"",F82-D82))</f>
        <v/>
      </c>
      <c r="F82" s="31" t="str">
        <f>IF(B82="Summe",SUM($F$8:F81),IF(B82&gt;$D$3,"",$F$3))</f>
        <v/>
      </c>
      <c r="G82" s="31" t="str">
        <f t="shared" si="7"/>
        <v/>
      </c>
      <c r="H82" s="27" t="str">
        <f t="shared" si="8"/>
        <v/>
      </c>
      <c r="I82" s="27" t="str">
        <f t="shared" si="9"/>
        <v/>
      </c>
      <c r="J82" s="27" t="str">
        <f t="shared" si="10"/>
        <v/>
      </c>
    </row>
    <row r="83" spans="2:10" x14ac:dyDescent="0.25">
      <c r="B83" s="23" t="str">
        <f t="shared" si="12"/>
        <v/>
      </c>
      <c r="C83" s="31" t="str">
        <f t="shared" si="11"/>
        <v/>
      </c>
      <c r="D83" s="31" t="str">
        <f>IF(B83="Summe",SUM($D$8:D82),IF(B83&gt;$D$3,"",C83*$D$4))</f>
        <v/>
      </c>
      <c r="E83" s="31" t="str">
        <f>IF(B83="Summe",SUM($E$8:E82),IF(B83&gt;$D$3,"",F83-D83))</f>
        <v/>
      </c>
      <c r="F83" s="31" t="str">
        <f>IF(B83="Summe",SUM($F$8:F82),IF(B83&gt;$D$3,"",$F$3))</f>
        <v/>
      </c>
      <c r="G83" s="31" t="str">
        <f t="shared" si="7"/>
        <v/>
      </c>
      <c r="H83" s="27" t="str">
        <f t="shared" si="8"/>
        <v/>
      </c>
      <c r="I83" s="27" t="str">
        <f t="shared" si="9"/>
        <v/>
      </c>
      <c r="J83" s="27" t="str">
        <f t="shared" si="10"/>
        <v/>
      </c>
    </row>
    <row r="84" spans="2:10" x14ac:dyDescent="0.25">
      <c r="B84" s="23" t="str">
        <f t="shared" si="12"/>
        <v/>
      </c>
      <c r="C84" s="31" t="str">
        <f t="shared" si="11"/>
        <v/>
      </c>
      <c r="D84" s="31" t="str">
        <f>IF(B84="Summe",SUM($D$8:D83),IF(B84&gt;$D$3,"",C84*$D$4))</f>
        <v/>
      </c>
      <c r="E84" s="31" t="str">
        <f>IF(B84="Summe",SUM($E$8:E83),IF(B84&gt;$D$3,"",F84-D84))</f>
        <v/>
      </c>
      <c r="F84" s="31" t="str">
        <f>IF(B84="Summe",SUM($F$8:F83),IF(B84&gt;$D$3,"",$F$3))</f>
        <v/>
      </c>
      <c r="G84" s="31" t="str">
        <f t="shared" si="7"/>
        <v/>
      </c>
      <c r="H84" s="27" t="str">
        <f t="shared" si="8"/>
        <v/>
      </c>
      <c r="I84" s="27" t="str">
        <f t="shared" si="9"/>
        <v/>
      </c>
      <c r="J84" s="27" t="str">
        <f t="shared" si="10"/>
        <v/>
      </c>
    </row>
    <row r="85" spans="2:10" x14ac:dyDescent="0.25">
      <c r="B85" s="23" t="str">
        <f t="shared" si="12"/>
        <v/>
      </c>
      <c r="C85" s="31" t="str">
        <f t="shared" si="11"/>
        <v/>
      </c>
      <c r="D85" s="31" t="str">
        <f>IF(B85="Summe",SUM($D$8:D84),IF(B85&gt;$D$3,"",C85*$D$4))</f>
        <v/>
      </c>
      <c r="E85" s="31" t="str">
        <f>IF(B85="Summe",SUM($E$8:E84),IF(B85&gt;$D$3,"",F85-D85))</f>
        <v/>
      </c>
      <c r="F85" s="31" t="str">
        <f>IF(B85="Summe",SUM($F$8:F84),IF(B85&gt;$D$3,"",$F$3))</f>
        <v/>
      </c>
      <c r="G85" s="31" t="str">
        <f t="shared" si="7"/>
        <v/>
      </c>
      <c r="H85" s="27" t="str">
        <f t="shared" si="8"/>
        <v/>
      </c>
      <c r="I85" s="27" t="str">
        <f t="shared" si="9"/>
        <v/>
      </c>
      <c r="J85" s="27" t="str">
        <f t="shared" si="10"/>
        <v/>
      </c>
    </row>
    <row r="86" spans="2:10" x14ac:dyDescent="0.25">
      <c r="B86" s="23" t="str">
        <f t="shared" si="12"/>
        <v/>
      </c>
      <c r="C86" s="31" t="str">
        <f t="shared" si="11"/>
        <v/>
      </c>
      <c r="D86" s="31" t="str">
        <f>IF(B86="Summe",SUM($D$8:D85),IF(B86&gt;$D$3,"",C86*$D$4))</f>
        <v/>
      </c>
      <c r="E86" s="31" t="str">
        <f>IF(B86="Summe",SUM($E$8:E85),IF(B86&gt;$D$3,"",F86-D86))</f>
        <v/>
      </c>
      <c r="F86" s="31" t="str">
        <f>IF(B86="Summe",SUM($F$8:F85),IF(B86&gt;$D$3,"",$F$3))</f>
        <v/>
      </c>
      <c r="G86" s="31" t="str">
        <f t="shared" si="7"/>
        <v/>
      </c>
      <c r="H86" s="27" t="str">
        <f t="shared" si="8"/>
        <v/>
      </c>
      <c r="I86" s="27" t="str">
        <f t="shared" si="9"/>
        <v/>
      </c>
      <c r="J86" s="27" t="str">
        <f t="shared" si="10"/>
        <v/>
      </c>
    </row>
    <row r="87" spans="2:10" x14ac:dyDescent="0.25">
      <c r="B87" s="23" t="str">
        <f t="shared" si="12"/>
        <v/>
      </c>
      <c r="C87" s="31" t="str">
        <f t="shared" si="11"/>
        <v/>
      </c>
      <c r="D87" s="31" t="str">
        <f>IF(B87="Summe",SUM($D$8:D86),IF(B87&gt;$D$3,"",C87*$D$4))</f>
        <v/>
      </c>
      <c r="E87" s="31" t="str">
        <f>IF(B87="Summe",SUM($E$8:E86),IF(B87&gt;$D$3,"",F87-D87))</f>
        <v/>
      </c>
      <c r="F87" s="31" t="str">
        <f>IF(B87="Summe",SUM($F$8:F86),IF(B87&gt;$D$3,"",$F$3))</f>
        <v/>
      </c>
      <c r="G87" s="31" t="str">
        <f t="shared" si="7"/>
        <v/>
      </c>
      <c r="H87" s="27" t="str">
        <f t="shared" si="8"/>
        <v/>
      </c>
      <c r="I87" s="27" t="str">
        <f t="shared" si="9"/>
        <v/>
      </c>
      <c r="J87" s="27" t="str">
        <f t="shared" si="10"/>
        <v/>
      </c>
    </row>
    <row r="88" spans="2:10" x14ac:dyDescent="0.25">
      <c r="B88" s="23" t="str">
        <f t="shared" si="12"/>
        <v/>
      </c>
      <c r="C88" s="31" t="str">
        <f t="shared" si="11"/>
        <v/>
      </c>
      <c r="D88" s="31" t="str">
        <f>IF(B88="Summe",SUM($D$8:D87),IF(B88&gt;$D$3,"",C88*$D$4))</f>
        <v/>
      </c>
      <c r="E88" s="31" t="str">
        <f>IF(B88="Summe",SUM($E$8:E87),IF(B88&gt;$D$3,"",F88-D88))</f>
        <v/>
      </c>
      <c r="F88" s="31" t="str">
        <f>IF(B88="Summe",SUM($F$8:F87),IF(B88&gt;$D$3,"",$F$3))</f>
        <v/>
      </c>
      <c r="G88" s="31" t="str">
        <f t="shared" si="7"/>
        <v/>
      </c>
      <c r="H88" s="27" t="str">
        <f t="shared" si="8"/>
        <v/>
      </c>
      <c r="I88" s="27" t="str">
        <f t="shared" si="9"/>
        <v/>
      </c>
      <c r="J88" s="27" t="str">
        <f t="shared" si="10"/>
        <v/>
      </c>
    </row>
    <row r="89" spans="2:10" x14ac:dyDescent="0.25">
      <c r="B89" s="23" t="str">
        <f t="shared" si="12"/>
        <v/>
      </c>
      <c r="C89" s="31" t="str">
        <f t="shared" si="11"/>
        <v/>
      </c>
      <c r="D89" s="31" t="str">
        <f>IF(B89="Summe",SUM($D$8:D88),IF(B89&gt;$D$3,"",C89*$D$4))</f>
        <v/>
      </c>
      <c r="E89" s="31" t="str">
        <f>IF(B89="Summe",SUM($E$8:E88),IF(B89&gt;$D$3,"",F89-D89))</f>
        <v/>
      </c>
      <c r="F89" s="31" t="str">
        <f>IF(B89="Summe",SUM($F$8:F88),IF(B89&gt;$D$3,"",$F$3))</f>
        <v/>
      </c>
      <c r="G89" s="31" t="str">
        <f t="shared" si="7"/>
        <v/>
      </c>
      <c r="H89" s="27" t="str">
        <f t="shared" si="8"/>
        <v/>
      </c>
      <c r="I89" s="27" t="str">
        <f t="shared" si="9"/>
        <v/>
      </c>
      <c r="J89" s="27" t="str">
        <f t="shared" si="10"/>
        <v/>
      </c>
    </row>
    <row r="90" spans="2:10" x14ac:dyDescent="0.25">
      <c r="B90" s="23" t="str">
        <f t="shared" si="12"/>
        <v/>
      </c>
      <c r="C90" s="31" t="str">
        <f t="shared" si="11"/>
        <v/>
      </c>
      <c r="D90" s="31" t="str">
        <f>IF(B90="Summe",SUM($D$8:D89),IF(B90&gt;$D$3,"",C90*$D$4))</f>
        <v/>
      </c>
      <c r="E90" s="31" t="str">
        <f>IF(B90="Summe",SUM($E$8:E89),IF(B90&gt;$D$3,"",F90-D90))</f>
        <v/>
      </c>
      <c r="F90" s="31" t="str">
        <f>IF(B90="Summe",SUM($F$8:F89),IF(B90&gt;$D$3,"",$F$3))</f>
        <v/>
      </c>
      <c r="G90" s="31" t="str">
        <f t="shared" si="7"/>
        <v/>
      </c>
      <c r="H90" s="27" t="str">
        <f t="shared" si="8"/>
        <v/>
      </c>
      <c r="I90" s="27" t="str">
        <f t="shared" si="9"/>
        <v/>
      </c>
      <c r="J90" s="27" t="str">
        <f t="shared" si="10"/>
        <v/>
      </c>
    </row>
    <row r="91" spans="2:10" x14ac:dyDescent="0.25">
      <c r="B91" s="23" t="str">
        <f t="shared" si="12"/>
        <v/>
      </c>
      <c r="C91" s="31" t="str">
        <f t="shared" si="11"/>
        <v/>
      </c>
      <c r="D91" s="31" t="str">
        <f>IF(B91="Summe",SUM($D$8:D90),IF(B91&gt;$D$3,"",C91*$D$4))</f>
        <v/>
      </c>
      <c r="E91" s="31" t="str">
        <f>IF(B91="Summe",SUM($E$8:E90),IF(B91&gt;$D$3,"",F91-D91))</f>
        <v/>
      </c>
      <c r="F91" s="31" t="str">
        <f>IF(B91="Summe",SUM($F$8:F90),IF(B91&gt;$D$3,"",$F$3))</f>
        <v/>
      </c>
      <c r="G91" s="31" t="str">
        <f t="shared" si="7"/>
        <v/>
      </c>
      <c r="H91" s="27" t="str">
        <f t="shared" si="8"/>
        <v/>
      </c>
      <c r="I91" s="27" t="str">
        <f t="shared" si="9"/>
        <v/>
      </c>
      <c r="J91" s="27" t="str">
        <f t="shared" si="10"/>
        <v/>
      </c>
    </row>
    <row r="92" spans="2:10" x14ac:dyDescent="0.25">
      <c r="B92" s="23" t="str">
        <f t="shared" si="12"/>
        <v/>
      </c>
      <c r="C92" s="31" t="str">
        <f t="shared" si="11"/>
        <v/>
      </c>
      <c r="D92" s="31" t="str">
        <f>IF(B92="Summe",SUM($D$8:D91),IF(B92&gt;$D$3,"",C92*$D$4))</f>
        <v/>
      </c>
      <c r="E92" s="31" t="str">
        <f>IF(B92="Summe",SUM($E$8:E91),IF(B92&gt;$D$3,"",F92-D92))</f>
        <v/>
      </c>
      <c r="F92" s="31" t="str">
        <f>IF(B92="Summe",SUM($F$8:F91),IF(B92&gt;$D$3,"",$F$3))</f>
        <v/>
      </c>
      <c r="G92" s="31" t="str">
        <f t="shared" si="7"/>
        <v/>
      </c>
      <c r="H92" s="27" t="str">
        <f t="shared" si="8"/>
        <v/>
      </c>
      <c r="I92" s="27" t="str">
        <f t="shared" si="9"/>
        <v/>
      </c>
      <c r="J92" s="27" t="str">
        <f t="shared" si="10"/>
        <v/>
      </c>
    </row>
    <row r="93" spans="2:10" x14ac:dyDescent="0.25">
      <c r="B93" s="23" t="str">
        <f t="shared" si="12"/>
        <v/>
      </c>
      <c r="C93" s="31" t="str">
        <f t="shared" si="11"/>
        <v/>
      </c>
      <c r="D93" s="31" t="str">
        <f>IF(B93="Summe",SUM($D$8:D92),IF(B93&gt;$D$3,"",C93*$D$4))</f>
        <v/>
      </c>
      <c r="E93" s="31" t="str">
        <f>IF(B93="Summe",SUM($E$8:E92),IF(B93&gt;$D$3,"",F93-D93))</f>
        <v/>
      </c>
      <c r="F93" s="31" t="str">
        <f>IF(B93="Summe",SUM($F$8:F92),IF(B93&gt;$D$3,"",$F$3))</f>
        <v/>
      </c>
      <c r="G93" s="31" t="str">
        <f t="shared" si="7"/>
        <v/>
      </c>
      <c r="H93" s="27" t="str">
        <f t="shared" si="8"/>
        <v/>
      </c>
      <c r="I93" s="27" t="str">
        <f t="shared" si="9"/>
        <v/>
      </c>
      <c r="J93" s="27" t="str">
        <f t="shared" si="10"/>
        <v/>
      </c>
    </row>
    <row r="94" spans="2:10" x14ac:dyDescent="0.25">
      <c r="B94" s="23" t="str">
        <f t="shared" si="12"/>
        <v/>
      </c>
      <c r="C94" s="31" t="str">
        <f t="shared" si="11"/>
        <v/>
      </c>
      <c r="D94" s="31" t="str">
        <f>IF(B94="Summe",SUM($D$8:D93),IF(B94&gt;$D$3,"",C94*$D$4))</f>
        <v/>
      </c>
      <c r="E94" s="31" t="str">
        <f>IF(B94="Summe",SUM($E$8:E93),IF(B94&gt;$D$3,"",F94-D94))</f>
        <v/>
      </c>
      <c r="F94" s="31" t="str">
        <f>IF(B94="Summe",SUM($F$8:F93),IF(B94&gt;$D$3,"",$F$3))</f>
        <v/>
      </c>
      <c r="G94" s="31" t="str">
        <f t="shared" si="7"/>
        <v/>
      </c>
      <c r="H94" s="27" t="str">
        <f t="shared" si="8"/>
        <v/>
      </c>
      <c r="I94" s="27" t="str">
        <f t="shared" si="9"/>
        <v/>
      </c>
      <c r="J94" s="27" t="str">
        <f t="shared" si="10"/>
        <v/>
      </c>
    </row>
    <row r="95" spans="2:10" x14ac:dyDescent="0.25">
      <c r="B95" s="23" t="str">
        <f t="shared" si="12"/>
        <v/>
      </c>
      <c r="C95" s="31" t="str">
        <f t="shared" si="11"/>
        <v/>
      </c>
      <c r="D95" s="31" t="str">
        <f>IF(B95="Summe",SUM($D$8:D94),IF(B95&gt;$D$3,"",C95*$D$4))</f>
        <v/>
      </c>
      <c r="E95" s="31" t="str">
        <f>IF(B95="Summe",SUM($E$8:E94),IF(B95&gt;$D$3,"",F95-D95))</f>
        <v/>
      </c>
      <c r="F95" s="31" t="str">
        <f>IF(B95="Summe",SUM($F$8:F94),IF(B95&gt;$D$3,"",$F$3))</f>
        <v/>
      </c>
      <c r="G95" s="31" t="str">
        <f t="shared" si="7"/>
        <v/>
      </c>
      <c r="H95" s="27" t="str">
        <f t="shared" si="8"/>
        <v/>
      </c>
      <c r="I95" s="27" t="str">
        <f t="shared" si="9"/>
        <v/>
      </c>
      <c r="J95" s="27" t="str">
        <f t="shared" si="10"/>
        <v/>
      </c>
    </row>
    <row r="96" spans="2:10" x14ac:dyDescent="0.25">
      <c r="B96" s="23" t="str">
        <f t="shared" si="12"/>
        <v/>
      </c>
      <c r="C96" s="31" t="str">
        <f t="shared" si="11"/>
        <v/>
      </c>
      <c r="D96" s="31" t="str">
        <f>IF(B96="Summe",SUM($D$8:D95),IF(B96&gt;$D$3,"",C96*$D$4))</f>
        <v/>
      </c>
      <c r="E96" s="31" t="str">
        <f>IF(B96="Summe",SUM($E$8:E95),IF(B96&gt;$D$3,"",F96-D96))</f>
        <v/>
      </c>
      <c r="F96" s="31" t="str">
        <f>IF(B96="Summe",SUM($F$8:F95),IF(B96&gt;$D$3,"",$F$3))</f>
        <v/>
      </c>
      <c r="G96" s="31" t="str">
        <f t="shared" si="7"/>
        <v/>
      </c>
      <c r="H96" s="27" t="str">
        <f t="shared" si="8"/>
        <v/>
      </c>
      <c r="I96" s="27" t="str">
        <f t="shared" si="9"/>
        <v/>
      </c>
      <c r="J96" s="27" t="str">
        <f t="shared" si="10"/>
        <v/>
      </c>
    </row>
    <row r="97" spans="2:10" x14ac:dyDescent="0.25">
      <c r="B97" s="23" t="str">
        <f t="shared" si="12"/>
        <v/>
      </c>
      <c r="C97" s="31" t="str">
        <f t="shared" si="11"/>
        <v/>
      </c>
      <c r="D97" s="31" t="str">
        <f>IF(B97="Summe",SUM($D$8:D96),IF(B97&gt;$D$3,"",C97*$D$4))</f>
        <v/>
      </c>
      <c r="E97" s="31" t="str">
        <f>IF(B97="Summe",SUM($E$8:E96),IF(B97&gt;$D$3,"",F97-D97))</f>
        <v/>
      </c>
      <c r="F97" s="31" t="str">
        <f>IF(B97="Summe",SUM($F$8:F96),IF(B97&gt;$D$3,"",$F$3))</f>
        <v/>
      </c>
      <c r="G97" s="31" t="str">
        <f t="shared" si="7"/>
        <v/>
      </c>
      <c r="H97" s="27" t="str">
        <f t="shared" si="8"/>
        <v/>
      </c>
      <c r="I97" s="27" t="str">
        <f t="shared" si="9"/>
        <v/>
      </c>
      <c r="J97" s="27" t="str">
        <f t="shared" si="10"/>
        <v/>
      </c>
    </row>
    <row r="98" spans="2:10" x14ac:dyDescent="0.25">
      <c r="B98" s="23" t="str">
        <f t="shared" si="12"/>
        <v/>
      </c>
      <c r="C98" s="31" t="str">
        <f t="shared" si="11"/>
        <v/>
      </c>
      <c r="D98" s="31" t="str">
        <f>IF(B98="Summe",SUM($D$8:D97),IF(B98&gt;$D$3,"",C98*$D$4))</f>
        <v/>
      </c>
      <c r="E98" s="31" t="str">
        <f>IF(B98="Summe",SUM($E$8:E97),IF(B98&gt;$D$3,"",F98-D98))</f>
        <v/>
      </c>
      <c r="F98" s="31" t="str">
        <f>IF(B98="Summe",SUM($F$8:F97),IF(B98&gt;$D$3,"",$F$3))</f>
        <v/>
      </c>
      <c r="G98" s="31" t="str">
        <f t="shared" si="7"/>
        <v/>
      </c>
      <c r="H98" s="27" t="str">
        <f t="shared" si="8"/>
        <v/>
      </c>
      <c r="I98" s="27" t="str">
        <f t="shared" si="9"/>
        <v/>
      </c>
      <c r="J98" s="27" t="str">
        <f t="shared" si="10"/>
        <v/>
      </c>
    </row>
    <row r="99" spans="2:10" x14ac:dyDescent="0.25">
      <c r="B99" s="23" t="str">
        <f t="shared" si="12"/>
        <v/>
      </c>
      <c r="C99" s="31" t="str">
        <f t="shared" si="11"/>
        <v/>
      </c>
      <c r="D99" s="31" t="str">
        <f>IF(B99="Summe",SUM($D$8:D98),IF(B99&gt;$D$3,"",C99*$D$4))</f>
        <v/>
      </c>
      <c r="E99" s="31" t="str">
        <f>IF(B99="Summe",SUM($E$8:E98),IF(B99&gt;$D$3,"",F99-D99))</f>
        <v/>
      </c>
      <c r="F99" s="31" t="str">
        <f>IF(B99="Summe",SUM($F$8:F98),IF(B99&gt;$D$3,"",$F$3))</f>
        <v/>
      </c>
      <c r="G99" s="31" t="str">
        <f t="shared" si="7"/>
        <v/>
      </c>
      <c r="H99" s="27" t="str">
        <f t="shared" si="8"/>
        <v/>
      </c>
      <c r="I99" s="27" t="str">
        <f t="shared" si="9"/>
        <v/>
      </c>
      <c r="J99" s="27" t="str">
        <f t="shared" si="10"/>
        <v/>
      </c>
    </row>
    <row r="100" spans="2:10" x14ac:dyDescent="0.25">
      <c r="B100" s="23" t="str">
        <f t="shared" si="12"/>
        <v/>
      </c>
      <c r="C100" s="31" t="str">
        <f t="shared" si="11"/>
        <v/>
      </c>
      <c r="D100" s="31" t="str">
        <f>IF(B100="Summe",SUM($D$8:D99),IF(B100&gt;$D$3,"",C100*$D$4))</f>
        <v/>
      </c>
      <c r="E100" s="31" t="str">
        <f>IF(B100="Summe",SUM($E$8:E99),IF(B100&gt;$D$3,"",F100-D100))</f>
        <v/>
      </c>
      <c r="F100" s="31" t="str">
        <f>IF(B100="Summe",SUM($F$8:F99),IF(B100&gt;$D$3,"",$F$3))</f>
        <v/>
      </c>
      <c r="G100" s="31" t="str">
        <f t="shared" si="7"/>
        <v/>
      </c>
      <c r="H100" s="27" t="str">
        <f t="shared" si="8"/>
        <v/>
      </c>
      <c r="I100" s="27" t="str">
        <f t="shared" si="9"/>
        <v/>
      </c>
      <c r="J100" s="27" t="str">
        <f t="shared" si="10"/>
        <v/>
      </c>
    </row>
    <row r="101" spans="2:10" x14ac:dyDescent="0.25">
      <c r="B101" s="23" t="str">
        <f t="shared" si="12"/>
        <v/>
      </c>
      <c r="C101" s="31" t="str">
        <f t="shared" si="11"/>
        <v/>
      </c>
      <c r="D101" s="31" t="str">
        <f>IF(B101="Summe",SUM($D$8:D100),IF(B101&gt;$D$3,"",C101*$D$4))</f>
        <v/>
      </c>
      <c r="E101" s="31" t="str">
        <f>IF(B101="Summe",SUM($E$8:E100),IF(B101&gt;$D$3,"",F101-D101))</f>
        <v/>
      </c>
      <c r="F101" s="31" t="str">
        <f>IF(B101="Summe",SUM($F$8:F100),IF(B101&gt;$D$3,"",$F$3))</f>
        <v/>
      </c>
      <c r="G101" s="31" t="str">
        <f t="shared" si="7"/>
        <v/>
      </c>
      <c r="H101" s="27" t="str">
        <f t="shared" si="8"/>
        <v/>
      </c>
      <c r="I101" s="27" t="str">
        <f t="shared" si="9"/>
        <v/>
      </c>
      <c r="J101" s="27" t="str">
        <f t="shared" si="10"/>
        <v/>
      </c>
    </row>
    <row r="102" spans="2:10" x14ac:dyDescent="0.25">
      <c r="B102" s="23" t="str">
        <f t="shared" si="12"/>
        <v/>
      </c>
      <c r="C102" s="31" t="str">
        <f t="shared" si="11"/>
        <v/>
      </c>
      <c r="D102" s="31" t="str">
        <f>IF(B102="Summe",SUM($D$8:D101),IF(B102&gt;$D$3,"",C102*$D$4))</f>
        <v/>
      </c>
      <c r="E102" s="31" t="str">
        <f>IF(B102="Summe",SUM($E$8:E101),IF(B102&gt;$D$3,"",F102-D102))</f>
        <v/>
      </c>
      <c r="F102" s="31" t="str">
        <f>IF(B102="Summe",SUM($F$8:F101),IF(B102&gt;$D$3,"",$F$3))</f>
        <v/>
      </c>
      <c r="G102" s="31" t="str">
        <f t="shared" si="7"/>
        <v/>
      </c>
      <c r="H102" s="27" t="str">
        <f t="shared" si="8"/>
        <v/>
      </c>
      <c r="I102" s="27" t="str">
        <f t="shared" si="9"/>
        <v/>
      </c>
      <c r="J102" s="27" t="str">
        <f t="shared" si="10"/>
        <v/>
      </c>
    </row>
    <row r="103" spans="2:10" x14ac:dyDescent="0.25">
      <c r="B103" s="23" t="str">
        <f t="shared" si="12"/>
        <v/>
      </c>
      <c r="C103" s="31" t="str">
        <f t="shared" si="11"/>
        <v/>
      </c>
      <c r="D103" s="31" t="str">
        <f>IF(B103="Summe",SUM($D$8:D102),IF(B103&gt;$D$3,"",C103*$D$4))</f>
        <v/>
      </c>
      <c r="E103" s="31" t="str">
        <f>IF(B103="Summe",SUM($E$8:E102),IF(B103&gt;$D$3,"",F103-D103))</f>
        <v/>
      </c>
      <c r="F103" s="31" t="str">
        <f>IF(B103="Summe",SUM($F$8:F102),IF(B103&gt;$D$3,"",$F$3))</f>
        <v/>
      </c>
      <c r="G103" s="31" t="str">
        <f t="shared" si="7"/>
        <v/>
      </c>
      <c r="H103" s="27" t="str">
        <f t="shared" si="8"/>
        <v/>
      </c>
      <c r="I103" s="27" t="str">
        <f t="shared" si="9"/>
        <v/>
      </c>
      <c r="J103" s="27" t="str">
        <f t="shared" si="10"/>
        <v/>
      </c>
    </row>
    <row r="104" spans="2:10" x14ac:dyDescent="0.25">
      <c r="B104" s="23" t="str">
        <f t="shared" si="12"/>
        <v/>
      </c>
      <c r="C104" s="31" t="str">
        <f t="shared" si="11"/>
        <v/>
      </c>
      <c r="D104" s="31" t="str">
        <f>IF(B104="Summe",SUM($D$8:D103),IF(B104&gt;$D$3,"",C104*$D$4))</f>
        <v/>
      </c>
      <c r="E104" s="31" t="str">
        <f>IF(B104="Summe",SUM($E$8:E103),IF(B104&gt;$D$3,"",F104-D104))</f>
        <v/>
      </c>
      <c r="F104" s="31" t="str">
        <f>IF(B104="Summe",SUM($F$8:F103),IF(B104&gt;$D$3,"",$F$3))</f>
        <v/>
      </c>
      <c r="G104" s="31" t="str">
        <f t="shared" si="7"/>
        <v/>
      </c>
      <c r="H104" s="27" t="str">
        <f t="shared" si="8"/>
        <v/>
      </c>
      <c r="I104" s="27" t="str">
        <f t="shared" si="9"/>
        <v/>
      </c>
      <c r="J104" s="27" t="str">
        <f t="shared" si="10"/>
        <v/>
      </c>
    </row>
    <row r="105" spans="2:10" x14ac:dyDescent="0.25">
      <c r="B105" s="23" t="str">
        <f t="shared" si="12"/>
        <v/>
      </c>
      <c r="C105" s="31" t="str">
        <f t="shared" si="11"/>
        <v/>
      </c>
      <c r="D105" s="31" t="str">
        <f>IF(B105="Summe",SUM($D$8:D104),IF(B105&gt;$D$3,"",C105*$D$4))</f>
        <v/>
      </c>
      <c r="E105" s="31" t="str">
        <f>IF(B105="Summe",SUM($E$8:E104),IF(B105&gt;$D$3,"",F105-D105))</f>
        <v/>
      </c>
      <c r="F105" s="31" t="str">
        <f>IF(B105="Summe",SUM($F$8:F104),IF(B105&gt;$D$3,"",$F$3))</f>
        <v/>
      </c>
      <c r="G105" s="31" t="str">
        <f t="shared" si="7"/>
        <v/>
      </c>
      <c r="H105" s="27" t="str">
        <f t="shared" si="8"/>
        <v/>
      </c>
      <c r="I105" s="27" t="str">
        <f t="shared" si="9"/>
        <v/>
      </c>
      <c r="J105" s="27" t="str">
        <f t="shared" si="10"/>
        <v/>
      </c>
    </row>
    <row r="106" spans="2:10" x14ac:dyDescent="0.25">
      <c r="B106" s="23" t="str">
        <f t="shared" si="12"/>
        <v/>
      </c>
      <c r="C106" s="31" t="str">
        <f t="shared" si="11"/>
        <v/>
      </c>
      <c r="D106" s="31" t="str">
        <f>IF(B106="Summe",SUM($D$8:D105),IF(B106&gt;$D$3,"",C106*$D$4))</f>
        <v/>
      </c>
      <c r="E106" s="31" t="str">
        <f>IF(B106="Summe",SUM($E$8:E105),IF(B106&gt;$D$3,"",F106-D106))</f>
        <v/>
      </c>
      <c r="F106" s="31" t="str">
        <f>IF(B106="Summe",SUM($F$8:F105),IF(B106&gt;$D$3,"",$F$3))</f>
        <v/>
      </c>
      <c r="G106" s="31" t="str">
        <f t="shared" si="7"/>
        <v/>
      </c>
      <c r="H106" s="27" t="str">
        <f t="shared" si="8"/>
        <v/>
      </c>
      <c r="I106" s="27" t="str">
        <f t="shared" si="9"/>
        <v/>
      </c>
      <c r="J106" s="27" t="str">
        <f t="shared" si="10"/>
        <v/>
      </c>
    </row>
    <row r="107" spans="2:10" x14ac:dyDescent="0.25">
      <c r="B107" s="23" t="str">
        <f t="shared" si="12"/>
        <v/>
      </c>
      <c r="C107" s="31" t="str">
        <f t="shared" si="11"/>
        <v/>
      </c>
      <c r="D107" s="31" t="str">
        <f>IF(B107="Summe",SUM($D$8:D106),IF(B107&gt;$D$3,"",C107*$D$4))</f>
        <v/>
      </c>
      <c r="E107" s="31" t="str">
        <f>IF(B107="Summe",SUM($E$8:E106),IF(B107&gt;$D$3,"",F107-D107))</f>
        <v/>
      </c>
      <c r="F107" s="31" t="str">
        <f>IF(B107="Summe",SUM($F$8:F106),IF(B107&gt;$D$3,"",$F$3))</f>
        <v/>
      </c>
      <c r="G107" s="31" t="str">
        <f t="shared" si="7"/>
        <v/>
      </c>
      <c r="H107" s="27" t="str">
        <f t="shared" si="8"/>
        <v/>
      </c>
      <c r="I107" s="27" t="str">
        <f t="shared" si="9"/>
        <v/>
      </c>
      <c r="J107" s="27" t="str">
        <f t="shared" si="10"/>
        <v/>
      </c>
    </row>
    <row r="108" spans="2:10" x14ac:dyDescent="0.25">
      <c r="B108" s="23" t="str">
        <f t="shared" si="12"/>
        <v/>
      </c>
      <c r="C108" s="31" t="str">
        <f t="shared" si="11"/>
        <v/>
      </c>
      <c r="D108" s="31" t="str">
        <f>IF(B108="Summe",SUM($D$8:D107),IF(B108&gt;$D$3,"",C108*$D$4))</f>
        <v/>
      </c>
      <c r="E108" s="31" t="str">
        <f>IF(B108="Summe",SUM($E$8:E107),IF(B108&gt;$D$3,"",F108-D108))</f>
        <v/>
      </c>
      <c r="F108" s="31" t="str">
        <f>IF(B108="Summe",SUM($F$8:F107),IF(B108&gt;$D$3,"",$F$3))</f>
        <v/>
      </c>
      <c r="G108" s="31" t="str">
        <f t="shared" si="7"/>
        <v/>
      </c>
      <c r="H108" s="27" t="str">
        <f t="shared" si="8"/>
        <v/>
      </c>
      <c r="I108" s="27" t="str">
        <f t="shared" si="9"/>
        <v/>
      </c>
      <c r="J108" s="27" t="str">
        <f t="shared" si="10"/>
        <v/>
      </c>
    </row>
    <row r="109" spans="2:10" x14ac:dyDescent="0.25">
      <c r="B109" s="23" t="str">
        <f t="shared" si="12"/>
        <v/>
      </c>
      <c r="C109" s="31" t="str">
        <f t="shared" si="11"/>
        <v/>
      </c>
      <c r="D109" s="31" t="str">
        <f>IF(B109="Summe",SUM($D$8:D108),IF(B109&gt;$D$3,"",C109*$D$4))</f>
        <v/>
      </c>
      <c r="E109" s="31" t="str">
        <f>IF(B109="Summe",SUM($E$8:E108),IF(B109&gt;$D$3,"",F109-D109))</f>
        <v/>
      </c>
      <c r="F109" s="31" t="str">
        <f>IF(B109="Summe",SUM($F$8:F108),IF(B109&gt;$D$3,"",$F$3))</f>
        <v/>
      </c>
      <c r="G109" s="31" t="str">
        <f t="shared" si="7"/>
        <v/>
      </c>
      <c r="H109" s="27" t="str">
        <f t="shared" si="8"/>
        <v/>
      </c>
      <c r="I109" s="27" t="str">
        <f t="shared" si="9"/>
        <v/>
      </c>
      <c r="J109" s="27" t="str">
        <f t="shared" si="10"/>
        <v/>
      </c>
    </row>
    <row r="110" spans="2:10" x14ac:dyDescent="0.25">
      <c r="B110" s="23" t="str">
        <f t="shared" si="12"/>
        <v/>
      </c>
      <c r="C110" s="31" t="str">
        <f t="shared" si="11"/>
        <v/>
      </c>
      <c r="D110" s="31" t="str">
        <f>IF(B110="Summe",SUM($D$8:D109),IF(B110&gt;$D$3,"",C110*$D$4))</f>
        <v/>
      </c>
      <c r="E110" s="31" t="str">
        <f>IF(B110="Summe",SUM($E$8:E109),IF(B110&gt;$D$3,"",F110-D110))</f>
        <v/>
      </c>
      <c r="F110" s="31" t="str">
        <f>IF(B110="Summe",SUM($F$8:F109),IF(B110&gt;$D$3,"",$F$3))</f>
        <v/>
      </c>
      <c r="G110" s="31" t="str">
        <f t="shared" si="7"/>
        <v/>
      </c>
      <c r="H110" s="27" t="str">
        <f t="shared" si="8"/>
        <v/>
      </c>
      <c r="I110" s="27" t="str">
        <f t="shared" si="9"/>
        <v/>
      </c>
      <c r="J110" s="27" t="str">
        <f t="shared" si="10"/>
        <v/>
      </c>
    </row>
    <row r="111" spans="2:10" x14ac:dyDescent="0.25">
      <c r="B111" s="23" t="str">
        <f t="shared" si="12"/>
        <v/>
      </c>
      <c r="C111" s="31" t="str">
        <f t="shared" si="11"/>
        <v/>
      </c>
      <c r="D111" s="31" t="str">
        <f>IF(B111="Summe",SUM($D$8:D110),IF(B111&gt;$D$3,"",C111*$D$4))</f>
        <v/>
      </c>
      <c r="E111" s="31" t="str">
        <f>IF(B111="Summe",SUM($E$8:E110),IF(B111&gt;$D$3,"",F111-D111))</f>
        <v/>
      </c>
      <c r="F111" s="31" t="str">
        <f>IF(B111="Summe",SUM($F$8:F110),IF(B111&gt;$D$3,"",$F$3))</f>
        <v/>
      </c>
      <c r="G111" s="31" t="str">
        <f t="shared" si="7"/>
        <v/>
      </c>
      <c r="H111" s="27" t="str">
        <f t="shared" si="8"/>
        <v/>
      </c>
      <c r="I111" s="27" t="str">
        <f t="shared" si="9"/>
        <v/>
      </c>
      <c r="J111" s="27" t="str">
        <f t="shared" si="10"/>
        <v/>
      </c>
    </row>
    <row r="112" spans="2:10" x14ac:dyDescent="0.25">
      <c r="B112" s="23" t="str">
        <f t="shared" si="12"/>
        <v/>
      </c>
      <c r="C112" s="31" t="str">
        <f t="shared" si="11"/>
        <v/>
      </c>
      <c r="D112" s="31" t="str">
        <f>IF(B112="Summe",SUM($D$8:D111),IF(B112&gt;$D$3,"",C112*$D$4))</f>
        <v/>
      </c>
      <c r="E112" s="31" t="str">
        <f>IF(B112="Summe",SUM($E$8:E111),IF(B112&gt;$D$3,"",F112-D112))</f>
        <v/>
      </c>
      <c r="F112" s="31" t="str">
        <f>IF(B112="Summe",SUM($F$8:F111),IF(B112&gt;$D$3,"",$F$3))</f>
        <v/>
      </c>
      <c r="G112" s="31" t="str">
        <f t="shared" si="7"/>
        <v/>
      </c>
      <c r="H112" s="27" t="str">
        <f t="shared" si="8"/>
        <v/>
      </c>
      <c r="I112" s="27" t="str">
        <f t="shared" si="9"/>
        <v/>
      </c>
      <c r="J112" s="27" t="str">
        <f t="shared" si="10"/>
        <v/>
      </c>
    </row>
    <row r="113" spans="2:10" x14ac:dyDescent="0.25">
      <c r="B113" s="23" t="str">
        <f t="shared" si="12"/>
        <v/>
      </c>
      <c r="C113" s="31" t="str">
        <f t="shared" si="11"/>
        <v/>
      </c>
      <c r="D113" s="31" t="str">
        <f>IF(B113="Summe",SUM($D$8:D112),IF(B113&gt;$D$3,"",C113*$D$4))</f>
        <v/>
      </c>
      <c r="E113" s="31" t="str">
        <f>IF(B113="Summe",SUM($E$8:E112),IF(B113&gt;$D$3,"",F113-D113))</f>
        <v/>
      </c>
      <c r="F113" s="31" t="str">
        <f>IF(B113="Summe",SUM($F$8:F112),IF(B113&gt;$D$3,"",$F$3))</f>
        <v/>
      </c>
      <c r="G113" s="31" t="str">
        <f t="shared" si="7"/>
        <v/>
      </c>
      <c r="H113" s="27" t="str">
        <f t="shared" si="8"/>
        <v/>
      </c>
      <c r="I113" s="27" t="str">
        <f t="shared" si="9"/>
        <v/>
      </c>
      <c r="J113" s="27" t="str">
        <f t="shared" si="10"/>
        <v/>
      </c>
    </row>
    <row r="114" spans="2:10" x14ac:dyDescent="0.25">
      <c r="B114" s="23" t="str">
        <f t="shared" si="12"/>
        <v/>
      </c>
      <c r="C114" s="31" t="str">
        <f t="shared" si="11"/>
        <v/>
      </c>
      <c r="D114" s="31" t="str">
        <f>IF(B114="Summe",SUM($D$8:D113),IF(B114&gt;$D$3,"",C114*$D$4))</f>
        <v/>
      </c>
      <c r="E114" s="31" t="str">
        <f>IF(B114="Summe",SUM($E$8:E113),IF(B114&gt;$D$3,"",F114-D114))</f>
        <v/>
      </c>
      <c r="F114" s="31" t="str">
        <f>IF(B114="Summe",SUM($F$8:F113),IF(B114&gt;$D$3,"",$F$3))</f>
        <v/>
      </c>
      <c r="G114" s="31" t="str">
        <f t="shared" si="7"/>
        <v/>
      </c>
      <c r="H114" s="27" t="str">
        <f t="shared" si="8"/>
        <v/>
      </c>
      <c r="I114" s="27" t="str">
        <f t="shared" si="9"/>
        <v/>
      </c>
      <c r="J114" s="27" t="str">
        <f t="shared" si="10"/>
        <v/>
      </c>
    </row>
    <row r="115" spans="2:10" x14ac:dyDescent="0.25">
      <c r="B115" s="23" t="str">
        <f t="shared" si="12"/>
        <v/>
      </c>
      <c r="C115" s="31" t="str">
        <f t="shared" si="11"/>
        <v/>
      </c>
      <c r="D115" s="31" t="str">
        <f>IF(B115="Summe",SUM($D$8:D114),IF(B115&gt;$D$3,"",C115*$D$4))</f>
        <v/>
      </c>
      <c r="E115" s="31" t="str">
        <f>IF(B115="Summe",SUM($E$8:E114),IF(B115&gt;$D$3,"",F115-D115))</f>
        <v/>
      </c>
      <c r="F115" s="31" t="str">
        <f>IF(B115="Summe",SUM($F$8:F114),IF(B115&gt;$D$3,"",$F$3))</f>
        <v/>
      </c>
      <c r="G115" s="31" t="str">
        <f t="shared" si="7"/>
        <v/>
      </c>
      <c r="H115" s="27" t="str">
        <f t="shared" si="8"/>
        <v/>
      </c>
      <c r="I115" s="27" t="str">
        <f t="shared" si="9"/>
        <v/>
      </c>
      <c r="J115" s="27" t="str">
        <f t="shared" si="10"/>
        <v/>
      </c>
    </row>
    <row r="116" spans="2:10" x14ac:dyDescent="0.25">
      <c r="B116" s="23" t="str">
        <f t="shared" si="12"/>
        <v/>
      </c>
      <c r="C116" s="31" t="str">
        <f t="shared" si="11"/>
        <v/>
      </c>
      <c r="D116" s="31" t="str">
        <f>IF(B116="Summe",SUM($D$8:D115),IF(B116&gt;$D$3,"",C116*$D$4))</f>
        <v/>
      </c>
      <c r="E116" s="31" t="str">
        <f>IF(B116="Summe",SUM($E$8:E115),IF(B116&gt;$D$3,"",F116-D116))</f>
        <v/>
      </c>
      <c r="F116" s="31" t="str">
        <f>IF(B116="Summe",SUM($F$8:F115),IF(B116&gt;$D$3,"",$F$3))</f>
        <v/>
      </c>
      <c r="G116" s="31" t="str">
        <f t="shared" si="7"/>
        <v/>
      </c>
      <c r="H116" s="27" t="str">
        <f t="shared" si="8"/>
        <v/>
      </c>
      <c r="I116" s="27" t="str">
        <f t="shared" si="9"/>
        <v/>
      </c>
      <c r="J116" s="27" t="str">
        <f t="shared" si="10"/>
        <v/>
      </c>
    </row>
    <row r="117" spans="2:10" x14ac:dyDescent="0.25">
      <c r="B117" s="23" t="str">
        <f t="shared" si="12"/>
        <v/>
      </c>
      <c r="C117" s="31" t="str">
        <f t="shared" si="11"/>
        <v/>
      </c>
      <c r="D117" s="31" t="str">
        <f>IF(B117="Summe",SUM($D$8:D116),IF(B117&gt;$D$3,"",C117*$D$4))</f>
        <v/>
      </c>
      <c r="E117" s="31" t="str">
        <f>IF(B117="Summe",SUM($E$8:E116),IF(B117&gt;$D$3,"",F117-D117))</f>
        <v/>
      </c>
      <c r="F117" s="31" t="str">
        <f>IF(B117="Summe",SUM($F$8:F116),IF(B117&gt;$D$3,"",$F$3))</f>
        <v/>
      </c>
      <c r="G117" s="31" t="str">
        <f t="shared" si="7"/>
        <v/>
      </c>
      <c r="H117" s="27" t="str">
        <f t="shared" si="8"/>
        <v/>
      </c>
      <c r="I117" s="27" t="str">
        <f t="shared" si="9"/>
        <v/>
      </c>
      <c r="J117" s="27" t="str">
        <f t="shared" si="10"/>
        <v/>
      </c>
    </row>
    <row r="118" spans="2:10" x14ac:dyDescent="0.25">
      <c r="B118" s="23" t="str">
        <f t="shared" si="12"/>
        <v/>
      </c>
      <c r="C118" s="31" t="str">
        <f t="shared" si="11"/>
        <v/>
      </c>
      <c r="D118" s="31" t="str">
        <f>IF(B118="Summe",SUM($D$8:D117),IF(B118&gt;$D$3,"",C118*$D$4))</f>
        <v/>
      </c>
      <c r="E118" s="31" t="str">
        <f>IF(B118="Summe",SUM($E$8:E117),IF(B118&gt;$D$3,"",F118-D118))</f>
        <v/>
      </c>
      <c r="F118" s="31" t="str">
        <f>IF(B118="Summe",SUM($F$8:F117),IF(B118&gt;$D$3,"",$F$3))</f>
        <v/>
      </c>
      <c r="G118" s="31" t="str">
        <f t="shared" si="7"/>
        <v/>
      </c>
      <c r="H118" s="27" t="str">
        <f t="shared" si="8"/>
        <v/>
      </c>
      <c r="I118" s="27" t="str">
        <f t="shared" si="9"/>
        <v/>
      </c>
      <c r="J118" s="27" t="str">
        <f t="shared" si="10"/>
        <v/>
      </c>
    </row>
    <row r="119" spans="2:10" x14ac:dyDescent="0.25">
      <c r="B119" s="23" t="str">
        <f t="shared" si="12"/>
        <v/>
      </c>
      <c r="C119" s="31" t="str">
        <f t="shared" si="11"/>
        <v/>
      </c>
      <c r="D119" s="31" t="str">
        <f>IF(B119="Summe",SUM($D$8:D118),IF(B119&gt;$D$3,"",C119*$D$4))</f>
        <v/>
      </c>
      <c r="E119" s="31" t="str">
        <f>IF(B119="Summe",SUM($E$8:E118),IF(B119&gt;$D$3,"",F119-D119))</f>
        <v/>
      </c>
      <c r="F119" s="31" t="str">
        <f>IF(B119="Summe",SUM($F$8:F118),IF(B119&gt;$D$3,"",$F$3))</f>
        <v/>
      </c>
      <c r="G119" s="31" t="str">
        <f t="shared" si="7"/>
        <v/>
      </c>
      <c r="H119" s="27" t="str">
        <f t="shared" si="8"/>
        <v/>
      </c>
      <c r="I119" s="27" t="str">
        <f t="shared" si="9"/>
        <v/>
      </c>
      <c r="J119" s="27" t="str">
        <f t="shared" si="10"/>
        <v/>
      </c>
    </row>
    <row r="120" spans="2:10" x14ac:dyDescent="0.25">
      <c r="B120" s="23" t="str">
        <f t="shared" si="12"/>
        <v/>
      </c>
      <c r="C120" s="31" t="str">
        <f t="shared" si="11"/>
        <v/>
      </c>
      <c r="D120" s="31" t="str">
        <f>IF(B120="Summe",SUM($D$8:D119),IF(B120&gt;$D$3,"",C120*$D$4))</f>
        <v/>
      </c>
      <c r="E120" s="31" t="str">
        <f>IF(B120="Summe",SUM($E$8:E119),IF(B120&gt;$D$3,"",F120-D120))</f>
        <v/>
      </c>
      <c r="F120" s="31" t="str">
        <f>IF(B120="Summe",SUM($F$8:F119),IF(B120&gt;$D$3,"",$F$3))</f>
        <v/>
      </c>
      <c r="G120" s="31" t="str">
        <f t="shared" si="7"/>
        <v/>
      </c>
      <c r="H120" s="27" t="str">
        <f t="shared" si="8"/>
        <v/>
      </c>
      <c r="I120" s="27" t="str">
        <f t="shared" si="9"/>
        <v/>
      </c>
      <c r="J120" s="27" t="str">
        <f t="shared" si="10"/>
        <v/>
      </c>
    </row>
    <row r="121" spans="2:10" x14ac:dyDescent="0.25">
      <c r="B121" s="23" t="str">
        <f t="shared" si="12"/>
        <v/>
      </c>
      <c r="C121" s="31" t="str">
        <f t="shared" si="11"/>
        <v/>
      </c>
      <c r="D121" s="31" t="str">
        <f>IF(B121="Summe",SUM($D$8:D120),IF(B121&gt;$D$3,"",C121*$D$4))</f>
        <v/>
      </c>
      <c r="E121" s="31" t="str">
        <f>IF(B121="Summe",SUM($E$8:E120),IF(B121&gt;$D$3,"",F121-D121))</f>
        <v/>
      </c>
      <c r="F121" s="31" t="str">
        <f>IF(B121="Summe",SUM($F$8:F120),IF(B121&gt;$D$3,"",$F$3))</f>
        <v/>
      </c>
      <c r="G121" s="31" t="str">
        <f t="shared" si="7"/>
        <v/>
      </c>
      <c r="H121" s="27" t="str">
        <f t="shared" si="8"/>
        <v/>
      </c>
      <c r="I121" s="27" t="str">
        <f t="shared" si="9"/>
        <v/>
      </c>
      <c r="J121" s="27" t="str">
        <f t="shared" si="10"/>
        <v/>
      </c>
    </row>
    <row r="122" spans="2:10" x14ac:dyDescent="0.25">
      <c r="B122" s="23" t="str">
        <f t="shared" si="12"/>
        <v/>
      </c>
      <c r="C122" s="31" t="str">
        <f t="shared" si="11"/>
        <v/>
      </c>
      <c r="D122" s="31" t="str">
        <f>IF(B122="Summe",SUM($D$8:D121),IF(B122&gt;$D$3,"",C122*$D$4))</f>
        <v/>
      </c>
      <c r="E122" s="31" t="str">
        <f>IF(B122="Summe",SUM($E$8:E121),IF(B122&gt;$D$3,"",F122-D122))</f>
        <v/>
      </c>
      <c r="F122" s="31" t="str">
        <f>IF(B122="Summe",SUM($F$8:F121),IF(B122&gt;$D$3,"",$F$3))</f>
        <v/>
      </c>
      <c r="G122" s="31" t="str">
        <f t="shared" si="7"/>
        <v/>
      </c>
      <c r="H122" s="27" t="str">
        <f t="shared" si="8"/>
        <v/>
      </c>
      <c r="I122" s="27" t="str">
        <f t="shared" si="9"/>
        <v/>
      </c>
      <c r="J122" s="27" t="str">
        <f t="shared" si="10"/>
        <v/>
      </c>
    </row>
    <row r="123" spans="2:10" x14ac:dyDescent="0.25">
      <c r="B123" s="23" t="str">
        <f t="shared" si="12"/>
        <v/>
      </c>
      <c r="C123" s="31" t="str">
        <f t="shared" si="11"/>
        <v/>
      </c>
      <c r="D123" s="31" t="str">
        <f>IF(B123="Summe",SUM($D$8:D122),IF(B123&gt;$D$3,"",C123*$D$4))</f>
        <v/>
      </c>
      <c r="E123" s="31" t="str">
        <f>IF(B123="Summe",SUM($E$8:E122),IF(B123&gt;$D$3,"",F123-D123))</f>
        <v/>
      </c>
      <c r="F123" s="31" t="str">
        <f>IF(B123="Summe",SUM($F$8:F122),IF(B123&gt;$D$3,"",$F$3))</f>
        <v/>
      </c>
      <c r="G123" s="31" t="str">
        <f t="shared" si="7"/>
        <v/>
      </c>
      <c r="H123" s="27" t="str">
        <f t="shared" si="8"/>
        <v/>
      </c>
      <c r="I123" s="27" t="str">
        <f t="shared" si="9"/>
        <v/>
      </c>
      <c r="J123" s="27" t="str">
        <f t="shared" si="10"/>
        <v/>
      </c>
    </row>
    <row r="124" spans="2:10" x14ac:dyDescent="0.25">
      <c r="B124" s="23" t="str">
        <f t="shared" si="12"/>
        <v/>
      </c>
      <c r="C124" s="31" t="str">
        <f t="shared" si="11"/>
        <v/>
      </c>
      <c r="D124" s="31" t="str">
        <f>IF(B124="Summe",SUM($D$8:D123),IF(B124&gt;$D$3,"",C124*$D$4))</f>
        <v/>
      </c>
      <c r="E124" s="31" t="str">
        <f>IF(B124="Summe",SUM($E$8:E123),IF(B124&gt;$D$3,"",F124-D124))</f>
        <v/>
      </c>
      <c r="F124" s="31" t="str">
        <f>IF(B124="Summe",SUM($F$8:F123),IF(B124&gt;$D$3,"",$F$3))</f>
        <v/>
      </c>
      <c r="G124" s="31" t="str">
        <f t="shared" si="7"/>
        <v/>
      </c>
      <c r="H124" s="27" t="str">
        <f t="shared" si="8"/>
        <v/>
      </c>
      <c r="I124" s="27" t="str">
        <f t="shared" si="9"/>
        <v/>
      </c>
      <c r="J124" s="27" t="str">
        <f t="shared" si="10"/>
        <v/>
      </c>
    </row>
    <row r="125" spans="2:10" x14ac:dyDescent="0.25">
      <c r="B125" s="23" t="str">
        <f t="shared" si="12"/>
        <v/>
      </c>
      <c r="C125" s="31" t="str">
        <f t="shared" si="11"/>
        <v/>
      </c>
      <c r="D125" s="31" t="str">
        <f>IF(B125="Summe",SUM($D$8:D124),IF(B125&gt;$D$3,"",C125*$D$4))</f>
        <v/>
      </c>
      <c r="E125" s="31" t="str">
        <f>IF(B125="Summe",SUM($E$8:E124),IF(B125&gt;$D$3,"",F125-D125))</f>
        <v/>
      </c>
      <c r="F125" s="31" t="str">
        <f>IF(B125="Summe",SUM($F$8:F124),IF(B125&gt;$D$3,"",$F$3))</f>
        <v/>
      </c>
      <c r="G125" s="31" t="str">
        <f t="shared" si="7"/>
        <v/>
      </c>
      <c r="H125" s="27" t="str">
        <f t="shared" si="8"/>
        <v/>
      </c>
      <c r="I125" s="27" t="str">
        <f t="shared" si="9"/>
        <v/>
      </c>
      <c r="J125" s="27" t="str">
        <f t="shared" si="10"/>
        <v/>
      </c>
    </row>
    <row r="126" spans="2:10" x14ac:dyDescent="0.25">
      <c r="B126" s="23" t="str">
        <f t="shared" si="12"/>
        <v/>
      </c>
      <c r="C126" s="31" t="str">
        <f t="shared" si="11"/>
        <v/>
      </c>
      <c r="D126" s="31" t="str">
        <f>IF(B126="Summe",SUM($D$8:D125),IF(B126&gt;$D$3,"",C126*$D$4))</f>
        <v/>
      </c>
      <c r="E126" s="31" t="str">
        <f>IF(B126="Summe",SUM($E$8:E125),IF(B126&gt;$D$3,"",F126-D126))</f>
        <v/>
      </c>
      <c r="F126" s="31" t="str">
        <f>IF(B126="Summe",SUM($F$8:F125),IF(B126&gt;$D$3,"",$F$3))</f>
        <v/>
      </c>
      <c r="G126" s="31" t="str">
        <f t="shared" si="7"/>
        <v/>
      </c>
      <c r="H126" s="27" t="str">
        <f t="shared" si="8"/>
        <v/>
      </c>
      <c r="I126" s="27" t="str">
        <f t="shared" si="9"/>
        <v/>
      </c>
      <c r="J126" s="27" t="str">
        <f t="shared" si="10"/>
        <v/>
      </c>
    </row>
    <row r="127" spans="2:10" x14ac:dyDescent="0.25">
      <c r="B127" s="23" t="str">
        <f t="shared" si="12"/>
        <v/>
      </c>
      <c r="C127" s="31" t="str">
        <f t="shared" si="11"/>
        <v/>
      </c>
      <c r="D127" s="31" t="str">
        <f>IF(B127="Summe",SUM($D$8:D126),IF(B127&gt;$D$3,"",C127*$D$4))</f>
        <v/>
      </c>
      <c r="E127" s="31" t="str">
        <f>IF(B127="Summe",SUM($E$8:E126),IF(B127&gt;$D$3,"",F127-D127))</f>
        <v/>
      </c>
      <c r="F127" s="31" t="str">
        <f>IF(B127="Summe",SUM($F$8:F126),IF(B127&gt;$D$3,"",$F$3))</f>
        <v/>
      </c>
      <c r="G127" s="31" t="str">
        <f t="shared" si="7"/>
        <v/>
      </c>
      <c r="H127" s="27" t="str">
        <f t="shared" si="8"/>
        <v/>
      </c>
      <c r="I127" s="27" t="str">
        <f t="shared" si="9"/>
        <v/>
      </c>
      <c r="J127" s="27" t="str">
        <f t="shared" si="10"/>
        <v/>
      </c>
    </row>
    <row r="128" spans="2:10" x14ac:dyDescent="0.25">
      <c r="B128" s="23" t="str">
        <f t="shared" si="12"/>
        <v/>
      </c>
      <c r="C128" s="31" t="str">
        <f t="shared" si="11"/>
        <v/>
      </c>
      <c r="D128" s="31" t="str">
        <f>IF(B128="Summe",SUM($D$8:D127),IF(B128&gt;$D$3,"",C128*$D$4))</f>
        <v/>
      </c>
      <c r="E128" s="31" t="str">
        <f>IF(B128="Summe",SUM($E$8:E127),IF(B128&gt;$D$3,"",F128-D128))</f>
        <v/>
      </c>
      <c r="F128" s="31" t="str">
        <f>IF(B128="Summe",SUM($F$8:F127),IF(B128&gt;$D$3,"",$F$3))</f>
        <v/>
      </c>
      <c r="G128" s="31" t="str">
        <f t="shared" si="7"/>
        <v/>
      </c>
      <c r="H128" s="27" t="str">
        <f t="shared" si="8"/>
        <v/>
      </c>
      <c r="I128" s="27" t="str">
        <f t="shared" si="9"/>
        <v/>
      </c>
      <c r="J128" s="27" t="str">
        <f t="shared" si="10"/>
        <v/>
      </c>
    </row>
    <row r="129" spans="2:10" x14ac:dyDescent="0.25">
      <c r="B129" s="23" t="str">
        <f t="shared" si="12"/>
        <v/>
      </c>
      <c r="C129" s="31" t="str">
        <f t="shared" si="11"/>
        <v/>
      </c>
      <c r="D129" s="31" t="str">
        <f>IF(B129="Summe",SUM($D$8:D128),IF(B129&gt;$D$3,"",C129*$D$4))</f>
        <v/>
      </c>
      <c r="E129" s="31" t="str">
        <f>IF(B129="Summe",SUM($E$8:E128),IF(B129&gt;$D$3,"",F129-D129))</f>
        <v/>
      </c>
      <c r="F129" s="31" t="str">
        <f>IF(B129="Summe",SUM($F$8:F128),IF(B129&gt;$D$3,"",$F$3))</f>
        <v/>
      </c>
      <c r="G129" s="31" t="str">
        <f t="shared" si="7"/>
        <v/>
      </c>
      <c r="H129" s="27" t="str">
        <f t="shared" si="8"/>
        <v/>
      </c>
      <c r="I129" s="27" t="str">
        <f t="shared" si="9"/>
        <v/>
      </c>
      <c r="J129" s="27" t="str">
        <f t="shared" si="10"/>
        <v/>
      </c>
    </row>
    <row r="130" spans="2:10" x14ac:dyDescent="0.25">
      <c r="B130" s="23" t="str">
        <f t="shared" si="12"/>
        <v/>
      </c>
      <c r="C130" s="31" t="str">
        <f t="shared" si="11"/>
        <v/>
      </c>
      <c r="D130" s="31" t="str">
        <f>IF(B130="Summe",SUM($D$8:D129),IF(B130&gt;$D$3,"",C130*$D$4))</f>
        <v/>
      </c>
      <c r="E130" s="31" t="str">
        <f>IF(B130="Summe",SUM($E$8:E129),IF(B130&gt;$D$3,"",F130-D130))</f>
        <v/>
      </c>
      <c r="F130" s="31" t="str">
        <f>IF(B130="Summe",SUM($F$8:F129),IF(B130&gt;$D$3,"",$F$3))</f>
        <v/>
      </c>
      <c r="G130" s="31" t="str">
        <f t="shared" si="7"/>
        <v/>
      </c>
      <c r="H130" s="27" t="str">
        <f t="shared" si="8"/>
        <v/>
      </c>
      <c r="I130" s="27" t="str">
        <f t="shared" si="9"/>
        <v/>
      </c>
      <c r="J130" s="27" t="str">
        <f t="shared" si="10"/>
        <v/>
      </c>
    </row>
    <row r="131" spans="2:10" x14ac:dyDescent="0.25">
      <c r="B131" s="23" t="str">
        <f t="shared" si="12"/>
        <v/>
      </c>
      <c r="C131" s="31" t="str">
        <f t="shared" si="11"/>
        <v/>
      </c>
      <c r="D131" s="31" t="str">
        <f>IF(B131="Summe",SUM($D$8:D130),IF(B131&gt;$D$3,"",C131*$D$4))</f>
        <v/>
      </c>
      <c r="E131" s="31" t="str">
        <f>IF(B131="Summe",SUM($E$8:E130),IF(B131&gt;$D$3,"",F131-D131))</f>
        <v/>
      </c>
      <c r="F131" s="31" t="str">
        <f>IF(B131="Summe",SUM($F$8:F130),IF(B131&gt;$D$3,"",$F$3))</f>
        <v/>
      </c>
      <c r="G131" s="31" t="str">
        <f t="shared" si="7"/>
        <v/>
      </c>
      <c r="H131" s="27" t="str">
        <f t="shared" si="8"/>
        <v/>
      </c>
      <c r="I131" s="27" t="str">
        <f t="shared" si="9"/>
        <v/>
      </c>
      <c r="J131" s="27" t="str">
        <f t="shared" si="10"/>
        <v/>
      </c>
    </row>
    <row r="132" spans="2:10" x14ac:dyDescent="0.25">
      <c r="B132" s="23" t="str">
        <f t="shared" si="12"/>
        <v/>
      </c>
      <c r="C132" s="31" t="str">
        <f t="shared" si="11"/>
        <v/>
      </c>
      <c r="D132" s="31" t="str">
        <f>IF(B132="Summe",SUM($D$8:D131),IF(B132&gt;$D$3,"",C132*$D$4))</f>
        <v/>
      </c>
      <c r="E132" s="31" t="str">
        <f>IF(B132="Summe",SUM($E$8:E131),IF(B132&gt;$D$3,"",F132-D132))</f>
        <v/>
      </c>
      <c r="F132" s="31" t="str">
        <f>IF(B132="Summe",SUM($F$8:F131),IF(B132&gt;$D$3,"",$F$3))</f>
        <v/>
      </c>
      <c r="G132" s="31" t="str">
        <f t="shared" si="7"/>
        <v/>
      </c>
      <c r="H132" s="27" t="str">
        <f t="shared" si="8"/>
        <v/>
      </c>
      <c r="I132" s="27" t="str">
        <f t="shared" si="9"/>
        <v/>
      </c>
      <c r="J132" s="27" t="str">
        <f t="shared" si="10"/>
        <v/>
      </c>
    </row>
    <row r="133" spans="2:10" x14ac:dyDescent="0.25">
      <c r="B133" s="23" t="str">
        <f t="shared" si="12"/>
        <v/>
      </c>
      <c r="C133" s="31" t="str">
        <f t="shared" si="11"/>
        <v/>
      </c>
      <c r="D133" s="31" t="str">
        <f>IF(B133="Summe",SUM($D$8:D132),IF(B133&gt;$D$3,"",C133*$D$4))</f>
        <v/>
      </c>
      <c r="E133" s="31" t="str">
        <f>IF(B133="Summe",SUM($E$8:E132),IF(B133&gt;$D$3,"",F133-D133))</f>
        <v/>
      </c>
      <c r="F133" s="31" t="str">
        <f>IF(B133="Summe",SUM($F$8:F132),IF(B133&gt;$D$3,"",$F$3))</f>
        <v/>
      </c>
      <c r="G133" s="31" t="str">
        <f t="shared" si="7"/>
        <v/>
      </c>
      <c r="H133" s="27" t="str">
        <f t="shared" si="8"/>
        <v/>
      </c>
      <c r="I133" s="27" t="str">
        <f t="shared" si="9"/>
        <v/>
      </c>
      <c r="J133" s="27" t="str">
        <f t="shared" si="10"/>
        <v/>
      </c>
    </row>
    <row r="134" spans="2:10" x14ac:dyDescent="0.25">
      <c r="B134" s="23" t="str">
        <f t="shared" si="12"/>
        <v/>
      </c>
      <c r="C134" s="31" t="str">
        <f t="shared" si="11"/>
        <v/>
      </c>
      <c r="D134" s="31" t="str">
        <f>IF(B134="Summe",SUM($D$8:D133),IF(B134&gt;$D$3,"",C134*$D$4))</f>
        <v/>
      </c>
      <c r="E134" s="31" t="str">
        <f>IF(B134="Summe",SUM($E$8:E133),IF(B134&gt;$D$3,"",F134-D134))</f>
        <v/>
      </c>
      <c r="F134" s="31" t="str">
        <f>IF(B134="Summe",SUM($F$8:F133),IF(B134&gt;$D$3,"",$F$3))</f>
        <v/>
      </c>
      <c r="G134" s="31" t="str">
        <f t="shared" si="7"/>
        <v/>
      </c>
      <c r="H134" s="27" t="str">
        <f t="shared" si="8"/>
        <v/>
      </c>
      <c r="I134" s="27" t="str">
        <f t="shared" si="9"/>
        <v/>
      </c>
      <c r="J134" s="27" t="str">
        <f t="shared" si="10"/>
        <v/>
      </c>
    </row>
    <row r="135" spans="2:10" x14ac:dyDescent="0.25">
      <c r="B135" s="23" t="str">
        <f t="shared" si="12"/>
        <v/>
      </c>
      <c r="C135" s="31" t="str">
        <f t="shared" si="11"/>
        <v/>
      </c>
      <c r="D135" s="31" t="str">
        <f>IF(B135="Summe",SUM($D$8:D134),IF(B135&gt;$D$3,"",C135*$D$4))</f>
        <v/>
      </c>
      <c r="E135" s="31" t="str">
        <f>IF(B135="Summe",SUM($E$8:E134),IF(B135&gt;$D$3,"",F135-D135))</f>
        <v/>
      </c>
      <c r="F135" s="31" t="str">
        <f>IF(B135="Summe",SUM($F$8:F134),IF(B135&gt;$D$3,"",$F$3))</f>
        <v/>
      </c>
      <c r="G135" s="31" t="str">
        <f t="shared" si="7"/>
        <v/>
      </c>
      <c r="H135" s="27" t="str">
        <f t="shared" si="8"/>
        <v/>
      </c>
      <c r="I135" s="27" t="str">
        <f t="shared" si="9"/>
        <v/>
      </c>
      <c r="J135" s="27" t="str">
        <f t="shared" si="10"/>
        <v/>
      </c>
    </row>
    <row r="136" spans="2:10" x14ac:dyDescent="0.25">
      <c r="B136" s="23" t="str">
        <f t="shared" si="12"/>
        <v/>
      </c>
      <c r="C136" s="31" t="str">
        <f t="shared" si="11"/>
        <v/>
      </c>
      <c r="D136" s="31" t="str">
        <f>IF(B136="Summe",SUM($D$8:D135),IF(B136&gt;$D$3,"",C136*$D$4))</f>
        <v/>
      </c>
      <c r="E136" s="31" t="str">
        <f>IF(B136="Summe",SUM($E$8:E135),IF(B136&gt;$D$3,"",F136-D136))</f>
        <v/>
      </c>
      <c r="F136" s="31" t="str">
        <f>IF(B136="Summe",SUM($F$8:F135),IF(B136&gt;$D$3,"",$F$3))</f>
        <v/>
      </c>
      <c r="G136" s="31" t="str">
        <f t="shared" si="7"/>
        <v/>
      </c>
      <c r="H136" s="27" t="str">
        <f t="shared" si="8"/>
        <v/>
      </c>
      <c r="I136" s="27" t="str">
        <f t="shared" si="9"/>
        <v/>
      </c>
      <c r="J136" s="27" t="str">
        <f t="shared" si="10"/>
        <v/>
      </c>
    </row>
    <row r="137" spans="2:10" x14ac:dyDescent="0.25">
      <c r="B137" s="23" t="str">
        <f t="shared" si="12"/>
        <v/>
      </c>
      <c r="C137" s="31" t="str">
        <f t="shared" si="11"/>
        <v/>
      </c>
      <c r="D137" s="31" t="str">
        <f>IF(B137="Summe",SUM($D$8:D136),IF(B137&gt;$D$3,"",C137*$D$4))</f>
        <v/>
      </c>
      <c r="E137" s="31" t="str">
        <f>IF(B137="Summe",SUM($E$8:E136),IF(B137&gt;$D$3,"",F137-D137))</f>
        <v/>
      </c>
      <c r="F137" s="31" t="str">
        <f>IF(B137="Summe",SUM($F$8:F136),IF(B137&gt;$D$3,"",$F$3))</f>
        <v/>
      </c>
      <c r="G137" s="31" t="str">
        <f t="shared" ref="G137:G199" si="13">IF(OR(B137="Summe",B137&gt;$D$3),"",C137-E137)</f>
        <v/>
      </c>
      <c r="H137" s="27" t="str">
        <f t="shared" ref="H137:H199" si="14">IFERROR(D137/12,"")</f>
        <v/>
      </c>
      <c r="I137" s="27" t="str">
        <f t="shared" ref="I137:I199" si="15">IFERROR(E137/12,"")</f>
        <v/>
      </c>
      <c r="J137" s="27" t="str">
        <f t="shared" ref="J137:J199" si="16">IFERROR(F137/12,"")</f>
        <v/>
      </c>
    </row>
    <row r="138" spans="2:10" x14ac:dyDescent="0.25">
      <c r="B138" s="23" t="str">
        <f t="shared" si="12"/>
        <v/>
      </c>
      <c r="C138" s="31" t="str">
        <f t="shared" ref="C138:C199" si="17">IF(OR(B138="Summe",B138&gt;$D$3),"",G137)</f>
        <v/>
      </c>
      <c r="D138" s="31" t="str">
        <f>IF(B138="Summe",SUM($D$8:D137),IF(B138&gt;$D$3,"",C138*$D$4))</f>
        <v/>
      </c>
      <c r="E138" s="31" t="str">
        <f>IF(B138="Summe",SUM($E$8:E137),IF(B138&gt;$D$3,"",F138-D138))</f>
        <v/>
      </c>
      <c r="F138" s="31" t="str">
        <f>IF(B138="Summe",SUM($F$8:F137),IF(B138&gt;$D$3,"",$F$3))</f>
        <v/>
      </c>
      <c r="G138" s="31" t="str">
        <f t="shared" si="13"/>
        <v/>
      </c>
      <c r="H138" s="27" t="str">
        <f t="shared" si="14"/>
        <v/>
      </c>
      <c r="I138" s="27" t="str">
        <f t="shared" si="15"/>
        <v/>
      </c>
      <c r="J138" s="27" t="str">
        <f t="shared" si="16"/>
        <v/>
      </c>
    </row>
    <row r="139" spans="2:10" x14ac:dyDescent="0.25">
      <c r="B139" s="23" t="str">
        <f t="shared" ref="B139:B200" si="18">IF(OR(B138="Summe",B138=""),"",IF($D$3&lt;B138+1,"Summe",B138+1))</f>
        <v/>
      </c>
      <c r="C139" s="31" t="str">
        <f t="shared" si="17"/>
        <v/>
      </c>
      <c r="D139" s="31" t="str">
        <f>IF(B139="Summe",SUM($D$8:D138),IF(B139&gt;$D$3,"",C139*$D$4))</f>
        <v/>
      </c>
      <c r="E139" s="31" t="str">
        <f>IF(B139="Summe",SUM($E$8:E138),IF(B139&gt;$D$3,"",F139-D139))</f>
        <v/>
      </c>
      <c r="F139" s="31" t="str">
        <f>IF(B139="Summe",SUM($F$8:F138),IF(B139&gt;$D$3,"",$F$3))</f>
        <v/>
      </c>
      <c r="G139" s="31" t="str">
        <f t="shared" si="13"/>
        <v/>
      </c>
      <c r="H139" s="27" t="str">
        <f t="shared" si="14"/>
        <v/>
      </c>
      <c r="I139" s="27" t="str">
        <f t="shared" si="15"/>
        <v/>
      </c>
      <c r="J139" s="27" t="str">
        <f t="shared" si="16"/>
        <v/>
      </c>
    </row>
    <row r="140" spans="2:10" x14ac:dyDescent="0.25">
      <c r="B140" s="23" t="str">
        <f t="shared" si="18"/>
        <v/>
      </c>
      <c r="C140" s="31" t="str">
        <f t="shared" si="17"/>
        <v/>
      </c>
      <c r="D140" s="31" t="str">
        <f>IF(B140="Summe",SUM($D$8:D139),IF(B140&gt;$D$3,"",C140*$D$4))</f>
        <v/>
      </c>
      <c r="E140" s="31" t="str">
        <f>IF(B140="Summe",SUM($E$8:E139),IF(B140&gt;$D$3,"",F140-D140))</f>
        <v/>
      </c>
      <c r="F140" s="31" t="str">
        <f>IF(B140="Summe",SUM($F$8:F139),IF(B140&gt;$D$3,"",$F$3))</f>
        <v/>
      </c>
      <c r="G140" s="31" t="str">
        <f t="shared" si="13"/>
        <v/>
      </c>
      <c r="H140" s="27" t="str">
        <f t="shared" si="14"/>
        <v/>
      </c>
      <c r="I140" s="27" t="str">
        <f t="shared" si="15"/>
        <v/>
      </c>
      <c r="J140" s="27" t="str">
        <f t="shared" si="16"/>
        <v/>
      </c>
    </row>
    <row r="141" spans="2:10" x14ac:dyDescent="0.25">
      <c r="B141" s="23" t="str">
        <f t="shared" si="18"/>
        <v/>
      </c>
      <c r="C141" s="31" t="str">
        <f t="shared" si="17"/>
        <v/>
      </c>
      <c r="D141" s="31" t="str">
        <f>IF(B141="Summe",SUM($D$8:D140),IF(B141&gt;$D$3,"",C141*$D$4))</f>
        <v/>
      </c>
      <c r="E141" s="31" t="str">
        <f>IF(B141="Summe",SUM($E$8:E140),IF(B141&gt;$D$3,"",F141-D141))</f>
        <v/>
      </c>
      <c r="F141" s="31" t="str">
        <f>IF(B141="Summe",SUM($F$8:F140),IF(B141&gt;$D$3,"",$F$3))</f>
        <v/>
      </c>
      <c r="G141" s="31" t="str">
        <f t="shared" si="13"/>
        <v/>
      </c>
      <c r="H141" s="27" t="str">
        <f t="shared" si="14"/>
        <v/>
      </c>
      <c r="I141" s="27" t="str">
        <f t="shared" si="15"/>
        <v/>
      </c>
      <c r="J141" s="27" t="str">
        <f t="shared" si="16"/>
        <v/>
      </c>
    </row>
    <row r="142" spans="2:10" x14ac:dyDescent="0.25">
      <c r="B142" s="23" t="str">
        <f t="shared" si="18"/>
        <v/>
      </c>
      <c r="C142" s="31" t="str">
        <f t="shared" si="17"/>
        <v/>
      </c>
      <c r="D142" s="31" t="str">
        <f>IF(B142="Summe",SUM($D$8:D141),IF(B142&gt;$D$3,"",C142*$D$4))</f>
        <v/>
      </c>
      <c r="E142" s="31" t="str">
        <f>IF(B142="Summe",SUM($E$8:E141),IF(B142&gt;$D$3,"",F142-D142))</f>
        <v/>
      </c>
      <c r="F142" s="31" t="str">
        <f>IF(B142="Summe",SUM($F$8:F141),IF(B142&gt;$D$3,"",$F$3))</f>
        <v/>
      </c>
      <c r="G142" s="31" t="str">
        <f t="shared" si="13"/>
        <v/>
      </c>
      <c r="H142" s="27" t="str">
        <f t="shared" si="14"/>
        <v/>
      </c>
      <c r="I142" s="27" t="str">
        <f t="shared" si="15"/>
        <v/>
      </c>
      <c r="J142" s="27" t="str">
        <f t="shared" si="16"/>
        <v/>
      </c>
    </row>
    <row r="143" spans="2:10" x14ac:dyDescent="0.25">
      <c r="B143" s="23" t="str">
        <f t="shared" si="18"/>
        <v/>
      </c>
      <c r="C143" s="31" t="str">
        <f t="shared" si="17"/>
        <v/>
      </c>
      <c r="D143" s="31" t="str">
        <f>IF(B143="Summe",SUM($D$8:D142),IF(B143&gt;$D$3,"",C143*$D$4))</f>
        <v/>
      </c>
      <c r="E143" s="31" t="str">
        <f>IF(B143="Summe",SUM($E$8:E142),IF(B143&gt;$D$3,"",F143-D143))</f>
        <v/>
      </c>
      <c r="F143" s="31" t="str">
        <f>IF(B143="Summe",SUM($F$8:F142),IF(B143&gt;$D$3,"",$F$3))</f>
        <v/>
      </c>
      <c r="G143" s="31" t="str">
        <f t="shared" si="13"/>
        <v/>
      </c>
      <c r="H143" s="27" t="str">
        <f t="shared" si="14"/>
        <v/>
      </c>
      <c r="I143" s="27" t="str">
        <f t="shared" si="15"/>
        <v/>
      </c>
      <c r="J143" s="27" t="str">
        <f t="shared" si="16"/>
        <v/>
      </c>
    </row>
    <row r="144" spans="2:10" x14ac:dyDescent="0.25">
      <c r="B144" s="23" t="str">
        <f t="shared" si="18"/>
        <v/>
      </c>
      <c r="C144" s="31" t="str">
        <f t="shared" si="17"/>
        <v/>
      </c>
      <c r="D144" s="31" t="str">
        <f>IF(B144="Summe",SUM($D$8:D143),IF(B144&gt;$D$3,"",C144*$D$4))</f>
        <v/>
      </c>
      <c r="E144" s="31" t="str">
        <f>IF(B144="Summe",SUM($E$8:E143),IF(B144&gt;$D$3,"",F144-D144))</f>
        <v/>
      </c>
      <c r="F144" s="31" t="str">
        <f>IF(B144="Summe",SUM($F$8:F143),IF(B144&gt;$D$3,"",$F$3))</f>
        <v/>
      </c>
      <c r="G144" s="31" t="str">
        <f t="shared" si="13"/>
        <v/>
      </c>
      <c r="H144" s="27" t="str">
        <f t="shared" si="14"/>
        <v/>
      </c>
      <c r="I144" s="27" t="str">
        <f t="shared" si="15"/>
        <v/>
      </c>
      <c r="J144" s="27" t="str">
        <f t="shared" si="16"/>
        <v/>
      </c>
    </row>
    <row r="145" spans="2:10" x14ac:dyDescent="0.25">
      <c r="B145" s="23" t="str">
        <f t="shared" si="18"/>
        <v/>
      </c>
      <c r="C145" s="31" t="str">
        <f t="shared" si="17"/>
        <v/>
      </c>
      <c r="D145" s="31" t="str">
        <f>IF(B145="Summe",SUM($D$8:D144),IF(B145&gt;$D$3,"",C145*$D$4))</f>
        <v/>
      </c>
      <c r="E145" s="31" t="str">
        <f>IF(B145="Summe",SUM($E$8:E144),IF(B145&gt;$D$3,"",F145-D145))</f>
        <v/>
      </c>
      <c r="F145" s="31" t="str">
        <f>IF(B145="Summe",SUM($F$8:F144),IF(B145&gt;$D$3,"",$F$3))</f>
        <v/>
      </c>
      <c r="G145" s="31" t="str">
        <f t="shared" si="13"/>
        <v/>
      </c>
      <c r="H145" s="27" t="str">
        <f t="shared" si="14"/>
        <v/>
      </c>
      <c r="I145" s="27" t="str">
        <f t="shared" si="15"/>
        <v/>
      </c>
      <c r="J145" s="27" t="str">
        <f t="shared" si="16"/>
        <v/>
      </c>
    </row>
    <row r="146" spans="2:10" x14ac:dyDescent="0.25">
      <c r="B146" s="23" t="str">
        <f t="shared" si="18"/>
        <v/>
      </c>
      <c r="C146" s="31" t="str">
        <f t="shared" si="17"/>
        <v/>
      </c>
      <c r="D146" s="31" t="str">
        <f>IF(B146="Summe",SUM($D$8:D145),IF(B146&gt;$D$3,"",C146*$D$4))</f>
        <v/>
      </c>
      <c r="E146" s="31" t="str">
        <f>IF(B146="Summe",SUM($E$8:E145),IF(B146&gt;$D$3,"",F146-D146))</f>
        <v/>
      </c>
      <c r="F146" s="31" t="str">
        <f>IF(B146="Summe",SUM($F$8:F145),IF(B146&gt;$D$3,"",$F$3))</f>
        <v/>
      </c>
      <c r="G146" s="31" t="str">
        <f t="shared" si="13"/>
        <v/>
      </c>
      <c r="H146" s="27" t="str">
        <f t="shared" si="14"/>
        <v/>
      </c>
      <c r="I146" s="27" t="str">
        <f t="shared" si="15"/>
        <v/>
      </c>
      <c r="J146" s="27" t="str">
        <f t="shared" si="16"/>
        <v/>
      </c>
    </row>
    <row r="147" spans="2:10" x14ac:dyDescent="0.25">
      <c r="B147" s="23" t="str">
        <f t="shared" si="18"/>
        <v/>
      </c>
      <c r="C147" s="31" t="str">
        <f t="shared" si="17"/>
        <v/>
      </c>
      <c r="D147" s="31" t="str">
        <f>IF(B147="Summe",SUM($D$8:D146),IF(B147&gt;$D$3,"",C147*$D$4))</f>
        <v/>
      </c>
      <c r="E147" s="31" t="str">
        <f>IF(B147="Summe",SUM($E$8:E146),IF(B147&gt;$D$3,"",F147-D147))</f>
        <v/>
      </c>
      <c r="F147" s="31" t="str">
        <f>IF(B147="Summe",SUM($F$8:F146),IF(B147&gt;$D$3,"",$F$3))</f>
        <v/>
      </c>
      <c r="G147" s="31" t="str">
        <f t="shared" si="13"/>
        <v/>
      </c>
      <c r="H147" s="27" t="str">
        <f t="shared" si="14"/>
        <v/>
      </c>
      <c r="I147" s="27" t="str">
        <f t="shared" si="15"/>
        <v/>
      </c>
      <c r="J147" s="27" t="str">
        <f t="shared" si="16"/>
        <v/>
      </c>
    </row>
    <row r="148" spans="2:10" x14ac:dyDescent="0.25">
      <c r="B148" s="23" t="str">
        <f t="shared" si="18"/>
        <v/>
      </c>
      <c r="C148" s="31" t="str">
        <f t="shared" si="17"/>
        <v/>
      </c>
      <c r="D148" s="31" t="str">
        <f>IF(B148="Summe",SUM($D$8:D147),IF(B148&gt;$D$3,"",C148*$D$4))</f>
        <v/>
      </c>
      <c r="E148" s="31" t="str">
        <f>IF(B148="Summe",SUM($E$8:E147),IF(B148&gt;$D$3,"",F148-D148))</f>
        <v/>
      </c>
      <c r="F148" s="31" t="str">
        <f>IF(B148="Summe",SUM($F$8:F147),IF(B148&gt;$D$3,"",$F$3))</f>
        <v/>
      </c>
      <c r="G148" s="31" t="str">
        <f t="shared" si="13"/>
        <v/>
      </c>
      <c r="H148" s="27" t="str">
        <f t="shared" si="14"/>
        <v/>
      </c>
      <c r="I148" s="27" t="str">
        <f t="shared" si="15"/>
        <v/>
      </c>
      <c r="J148" s="27" t="str">
        <f t="shared" si="16"/>
        <v/>
      </c>
    </row>
    <row r="149" spans="2:10" x14ac:dyDescent="0.25">
      <c r="B149" s="23" t="str">
        <f t="shared" si="18"/>
        <v/>
      </c>
      <c r="C149" s="31" t="str">
        <f t="shared" si="17"/>
        <v/>
      </c>
      <c r="D149" s="31" t="str">
        <f>IF(B149="Summe",SUM($D$8:D148),IF(B149&gt;$D$3,"",C149*$D$4))</f>
        <v/>
      </c>
      <c r="E149" s="31" t="str">
        <f>IF(B149="Summe",SUM($E$8:E148),IF(B149&gt;$D$3,"",F149-D149))</f>
        <v/>
      </c>
      <c r="F149" s="31" t="str">
        <f>IF(B149="Summe",SUM($F$8:F148),IF(B149&gt;$D$3,"",$F$3))</f>
        <v/>
      </c>
      <c r="G149" s="31" t="str">
        <f t="shared" si="13"/>
        <v/>
      </c>
      <c r="H149" s="27" t="str">
        <f t="shared" si="14"/>
        <v/>
      </c>
      <c r="I149" s="27" t="str">
        <f t="shared" si="15"/>
        <v/>
      </c>
      <c r="J149" s="27" t="str">
        <f t="shared" si="16"/>
        <v/>
      </c>
    </row>
    <row r="150" spans="2:10" x14ac:dyDescent="0.25">
      <c r="B150" s="23" t="str">
        <f t="shared" si="18"/>
        <v/>
      </c>
      <c r="C150" s="31" t="str">
        <f t="shared" si="17"/>
        <v/>
      </c>
      <c r="D150" s="31" t="str">
        <f>IF(B150="Summe",SUM($D$8:D149),IF(B150&gt;$D$3,"",C150*$D$4))</f>
        <v/>
      </c>
      <c r="E150" s="31" t="str">
        <f>IF(B150="Summe",SUM($E$8:E149),IF(B150&gt;$D$3,"",F150-D150))</f>
        <v/>
      </c>
      <c r="F150" s="31" t="str">
        <f>IF(B150="Summe",SUM($F$8:F149),IF(B150&gt;$D$3,"",$F$3))</f>
        <v/>
      </c>
      <c r="G150" s="31" t="str">
        <f t="shared" si="13"/>
        <v/>
      </c>
      <c r="H150" s="27" t="str">
        <f t="shared" si="14"/>
        <v/>
      </c>
      <c r="I150" s="27" t="str">
        <f t="shared" si="15"/>
        <v/>
      </c>
      <c r="J150" s="27" t="str">
        <f t="shared" si="16"/>
        <v/>
      </c>
    </row>
    <row r="151" spans="2:10" x14ac:dyDescent="0.25">
      <c r="B151" s="23" t="str">
        <f t="shared" si="18"/>
        <v/>
      </c>
      <c r="C151" s="31" t="str">
        <f t="shared" si="17"/>
        <v/>
      </c>
      <c r="D151" s="31" t="str">
        <f>IF(B151="Summe",SUM($D$8:D150),IF(B151&gt;$D$3,"",C151*$D$4))</f>
        <v/>
      </c>
      <c r="E151" s="31" t="str">
        <f>IF(B151="Summe",SUM($E$8:E150),IF(B151&gt;$D$3,"",F151-D151))</f>
        <v/>
      </c>
      <c r="F151" s="31" t="str">
        <f>IF(B151="Summe",SUM($F$8:F150),IF(B151&gt;$D$3,"",$F$3))</f>
        <v/>
      </c>
      <c r="G151" s="31" t="str">
        <f t="shared" si="13"/>
        <v/>
      </c>
      <c r="H151" s="27" t="str">
        <f t="shared" si="14"/>
        <v/>
      </c>
      <c r="I151" s="27" t="str">
        <f t="shared" si="15"/>
        <v/>
      </c>
      <c r="J151" s="27" t="str">
        <f t="shared" si="16"/>
        <v/>
      </c>
    </row>
    <row r="152" spans="2:10" x14ac:dyDescent="0.25">
      <c r="B152" s="23" t="str">
        <f t="shared" si="18"/>
        <v/>
      </c>
      <c r="C152" s="31" t="str">
        <f t="shared" si="17"/>
        <v/>
      </c>
      <c r="D152" s="31" t="str">
        <f>IF(B152="Summe",SUM($D$8:D151),IF(B152&gt;$D$3,"",C152*$D$4))</f>
        <v/>
      </c>
      <c r="E152" s="31" t="str">
        <f>IF(B152="Summe",SUM($E$8:E151),IF(B152&gt;$D$3,"",F152-D152))</f>
        <v/>
      </c>
      <c r="F152" s="31" t="str">
        <f>IF(B152="Summe",SUM($F$8:F151),IF(B152&gt;$D$3,"",$F$3))</f>
        <v/>
      </c>
      <c r="G152" s="31" t="str">
        <f t="shared" si="13"/>
        <v/>
      </c>
      <c r="H152" s="27" t="str">
        <f t="shared" si="14"/>
        <v/>
      </c>
      <c r="I152" s="27" t="str">
        <f t="shared" si="15"/>
        <v/>
      </c>
      <c r="J152" s="27" t="str">
        <f t="shared" si="16"/>
        <v/>
      </c>
    </row>
    <row r="153" spans="2:10" x14ac:dyDescent="0.25">
      <c r="B153" s="23" t="str">
        <f t="shared" si="18"/>
        <v/>
      </c>
      <c r="C153" s="31" t="str">
        <f t="shared" si="17"/>
        <v/>
      </c>
      <c r="D153" s="31" t="str">
        <f>IF(B153="Summe",SUM($D$8:D152),IF(B153&gt;$D$3,"",C153*$D$4))</f>
        <v/>
      </c>
      <c r="E153" s="31" t="str">
        <f>IF(B153="Summe",SUM($E$8:E152),IF(B153&gt;$D$3,"",F153-D153))</f>
        <v/>
      </c>
      <c r="F153" s="31" t="str">
        <f>IF(B153="Summe",SUM($F$8:F152),IF(B153&gt;$D$3,"",$F$3))</f>
        <v/>
      </c>
      <c r="G153" s="31" t="str">
        <f t="shared" si="13"/>
        <v/>
      </c>
      <c r="H153" s="27" t="str">
        <f t="shared" si="14"/>
        <v/>
      </c>
      <c r="I153" s="27" t="str">
        <f t="shared" si="15"/>
        <v/>
      </c>
      <c r="J153" s="27" t="str">
        <f t="shared" si="16"/>
        <v/>
      </c>
    </row>
    <row r="154" spans="2:10" x14ac:dyDescent="0.25">
      <c r="B154" s="23" t="str">
        <f t="shared" si="18"/>
        <v/>
      </c>
      <c r="C154" s="31" t="str">
        <f t="shared" si="17"/>
        <v/>
      </c>
      <c r="D154" s="31" t="str">
        <f>IF(B154="Summe",SUM($D$8:D153),IF(B154&gt;$D$3,"",C154*$D$4))</f>
        <v/>
      </c>
      <c r="E154" s="31" t="str">
        <f>IF(B154="Summe",SUM($E$8:E153),IF(B154&gt;$D$3,"",F154-D154))</f>
        <v/>
      </c>
      <c r="F154" s="31" t="str">
        <f>IF(B154="Summe",SUM($F$8:F153),IF(B154&gt;$D$3,"",$F$3))</f>
        <v/>
      </c>
      <c r="G154" s="31" t="str">
        <f t="shared" si="13"/>
        <v/>
      </c>
      <c r="H154" s="27" t="str">
        <f t="shared" si="14"/>
        <v/>
      </c>
      <c r="I154" s="27" t="str">
        <f t="shared" si="15"/>
        <v/>
      </c>
      <c r="J154" s="27" t="str">
        <f t="shared" si="16"/>
        <v/>
      </c>
    </row>
    <row r="155" spans="2:10" x14ac:dyDescent="0.25">
      <c r="B155" s="23" t="str">
        <f t="shared" si="18"/>
        <v/>
      </c>
      <c r="C155" s="31" t="str">
        <f t="shared" si="17"/>
        <v/>
      </c>
      <c r="D155" s="31" t="str">
        <f>IF(B155="Summe",SUM($D$8:D154),IF(B155&gt;$D$3,"",C155*$D$4))</f>
        <v/>
      </c>
      <c r="E155" s="31" t="str">
        <f>IF(B155="Summe",SUM($E$8:E154),IF(B155&gt;$D$3,"",F155-D155))</f>
        <v/>
      </c>
      <c r="F155" s="31" t="str">
        <f>IF(B155="Summe",SUM($F$8:F154),IF(B155&gt;$D$3,"",$F$3))</f>
        <v/>
      </c>
      <c r="G155" s="31" t="str">
        <f t="shared" si="13"/>
        <v/>
      </c>
      <c r="H155" s="27" t="str">
        <f t="shared" si="14"/>
        <v/>
      </c>
      <c r="I155" s="27" t="str">
        <f t="shared" si="15"/>
        <v/>
      </c>
      <c r="J155" s="27" t="str">
        <f t="shared" si="16"/>
        <v/>
      </c>
    </row>
    <row r="156" spans="2:10" x14ac:dyDescent="0.25">
      <c r="B156" s="23" t="str">
        <f t="shared" si="18"/>
        <v/>
      </c>
      <c r="C156" s="31" t="str">
        <f t="shared" si="17"/>
        <v/>
      </c>
      <c r="D156" s="31" t="str">
        <f>IF(B156="Summe",SUM($D$8:D155),IF(B156&gt;$D$3,"",C156*$D$4))</f>
        <v/>
      </c>
      <c r="E156" s="31" t="str">
        <f>IF(B156="Summe",SUM($E$8:E155),IF(B156&gt;$D$3,"",F156-D156))</f>
        <v/>
      </c>
      <c r="F156" s="31" t="str">
        <f>IF(B156="Summe",SUM($F$8:F155),IF(B156&gt;$D$3,"",$F$3))</f>
        <v/>
      </c>
      <c r="G156" s="31" t="str">
        <f t="shared" si="13"/>
        <v/>
      </c>
      <c r="H156" s="27" t="str">
        <f t="shared" si="14"/>
        <v/>
      </c>
      <c r="I156" s="27" t="str">
        <f t="shared" si="15"/>
        <v/>
      </c>
      <c r="J156" s="27" t="str">
        <f t="shared" si="16"/>
        <v/>
      </c>
    </row>
    <row r="157" spans="2:10" x14ac:dyDescent="0.25">
      <c r="B157" s="23" t="str">
        <f t="shared" si="18"/>
        <v/>
      </c>
      <c r="C157" s="31" t="str">
        <f t="shared" si="17"/>
        <v/>
      </c>
      <c r="D157" s="31" t="str">
        <f>IF(B157="Summe",SUM($D$8:D156),IF(B157&gt;$D$3,"",C157*$D$4))</f>
        <v/>
      </c>
      <c r="E157" s="31" t="str">
        <f>IF(B157="Summe",SUM($E$8:E156),IF(B157&gt;$D$3,"",F157-D157))</f>
        <v/>
      </c>
      <c r="F157" s="31" t="str">
        <f>IF(B157="Summe",SUM($F$8:F156),IF(B157&gt;$D$3,"",$F$3))</f>
        <v/>
      </c>
      <c r="G157" s="31" t="str">
        <f t="shared" si="13"/>
        <v/>
      </c>
      <c r="H157" s="27" t="str">
        <f t="shared" si="14"/>
        <v/>
      </c>
      <c r="I157" s="27" t="str">
        <f t="shared" si="15"/>
        <v/>
      </c>
      <c r="J157" s="27" t="str">
        <f t="shared" si="16"/>
        <v/>
      </c>
    </row>
    <row r="158" spans="2:10" x14ac:dyDescent="0.25">
      <c r="B158" s="23" t="str">
        <f t="shared" si="18"/>
        <v/>
      </c>
      <c r="C158" s="31" t="str">
        <f t="shared" si="17"/>
        <v/>
      </c>
      <c r="D158" s="31" t="str">
        <f>IF(B158="Summe",SUM($D$8:D157),IF(B158&gt;$D$3,"",C158*$D$4))</f>
        <v/>
      </c>
      <c r="E158" s="31" t="str">
        <f>IF(B158="Summe",SUM($E$8:E157),IF(B158&gt;$D$3,"",F158-D158))</f>
        <v/>
      </c>
      <c r="F158" s="31" t="str">
        <f>IF(B158="Summe",SUM($F$8:F157),IF(B158&gt;$D$3,"",$F$3))</f>
        <v/>
      </c>
      <c r="G158" s="31" t="str">
        <f t="shared" si="13"/>
        <v/>
      </c>
      <c r="H158" s="27" t="str">
        <f t="shared" si="14"/>
        <v/>
      </c>
      <c r="I158" s="27" t="str">
        <f t="shared" si="15"/>
        <v/>
      </c>
      <c r="J158" s="27" t="str">
        <f t="shared" si="16"/>
        <v/>
      </c>
    </row>
    <row r="159" spans="2:10" x14ac:dyDescent="0.25">
      <c r="B159" s="23" t="str">
        <f t="shared" si="18"/>
        <v/>
      </c>
      <c r="C159" s="31" t="str">
        <f t="shared" si="17"/>
        <v/>
      </c>
      <c r="D159" s="31" t="str">
        <f>IF(B159="Summe",SUM($D$8:D158),IF(B159&gt;$D$3,"",C159*$D$4))</f>
        <v/>
      </c>
      <c r="E159" s="31" t="str">
        <f>IF(B159="Summe",SUM($E$8:E158),IF(B159&gt;$D$3,"",F159-D159))</f>
        <v/>
      </c>
      <c r="F159" s="31" t="str">
        <f>IF(B159="Summe",SUM($F$8:F158),IF(B159&gt;$D$3,"",$F$3))</f>
        <v/>
      </c>
      <c r="G159" s="31" t="str">
        <f t="shared" si="13"/>
        <v/>
      </c>
      <c r="H159" s="27" t="str">
        <f t="shared" si="14"/>
        <v/>
      </c>
      <c r="I159" s="27" t="str">
        <f t="shared" si="15"/>
        <v/>
      </c>
      <c r="J159" s="27" t="str">
        <f t="shared" si="16"/>
        <v/>
      </c>
    </row>
    <row r="160" spans="2:10" x14ac:dyDescent="0.25">
      <c r="B160" s="23" t="str">
        <f t="shared" si="18"/>
        <v/>
      </c>
      <c r="C160" s="31" t="str">
        <f t="shared" si="17"/>
        <v/>
      </c>
      <c r="D160" s="31" t="str">
        <f>IF(B160="Summe",SUM($D$8:D159),IF(B160&gt;$D$3,"",C160*$D$4))</f>
        <v/>
      </c>
      <c r="E160" s="31" t="str">
        <f>IF(B160="Summe",SUM($E$8:E159),IF(B160&gt;$D$3,"",F160-D160))</f>
        <v/>
      </c>
      <c r="F160" s="31" t="str">
        <f>IF(B160="Summe",SUM($F$8:F159),IF(B160&gt;$D$3,"",$F$3))</f>
        <v/>
      </c>
      <c r="G160" s="31" t="str">
        <f t="shared" si="13"/>
        <v/>
      </c>
      <c r="H160" s="27" t="str">
        <f t="shared" si="14"/>
        <v/>
      </c>
      <c r="I160" s="27" t="str">
        <f t="shared" si="15"/>
        <v/>
      </c>
      <c r="J160" s="27" t="str">
        <f t="shared" si="16"/>
        <v/>
      </c>
    </row>
    <row r="161" spans="2:10" x14ac:dyDescent="0.25">
      <c r="B161" s="23" t="str">
        <f t="shared" si="18"/>
        <v/>
      </c>
      <c r="C161" s="31" t="str">
        <f t="shared" si="17"/>
        <v/>
      </c>
      <c r="D161" s="31" t="str">
        <f>IF(B161="Summe",SUM($D$8:D160),IF(B161&gt;$D$3,"",C161*$D$4))</f>
        <v/>
      </c>
      <c r="E161" s="31" t="str">
        <f>IF(B161="Summe",SUM($E$8:E160),IF(B161&gt;$D$3,"",F161-D161))</f>
        <v/>
      </c>
      <c r="F161" s="31" t="str">
        <f>IF(B161="Summe",SUM($F$8:F160),IF(B161&gt;$D$3,"",$F$3))</f>
        <v/>
      </c>
      <c r="G161" s="31" t="str">
        <f t="shared" si="13"/>
        <v/>
      </c>
      <c r="H161" s="27" t="str">
        <f t="shared" si="14"/>
        <v/>
      </c>
      <c r="I161" s="27" t="str">
        <f t="shared" si="15"/>
        <v/>
      </c>
      <c r="J161" s="27" t="str">
        <f t="shared" si="16"/>
        <v/>
      </c>
    </row>
    <row r="162" spans="2:10" x14ac:dyDescent="0.25">
      <c r="B162" s="23" t="str">
        <f t="shared" si="18"/>
        <v/>
      </c>
      <c r="C162" s="31" t="str">
        <f t="shared" si="17"/>
        <v/>
      </c>
      <c r="D162" s="31" t="str">
        <f>IF(B162="Summe",SUM($D$8:D161),IF(B162&gt;$D$3,"",C162*$D$4))</f>
        <v/>
      </c>
      <c r="E162" s="31" t="str">
        <f>IF(B162="Summe",SUM($E$8:E161),IF(B162&gt;$D$3,"",F162-D162))</f>
        <v/>
      </c>
      <c r="F162" s="31" t="str">
        <f>IF(B162="Summe",SUM($F$8:F161),IF(B162&gt;$D$3,"",$F$3))</f>
        <v/>
      </c>
      <c r="G162" s="31" t="str">
        <f t="shared" si="13"/>
        <v/>
      </c>
      <c r="H162" s="27" t="str">
        <f t="shared" si="14"/>
        <v/>
      </c>
      <c r="I162" s="27" t="str">
        <f t="shared" si="15"/>
        <v/>
      </c>
      <c r="J162" s="27" t="str">
        <f t="shared" si="16"/>
        <v/>
      </c>
    </row>
    <row r="163" spans="2:10" x14ac:dyDescent="0.25">
      <c r="B163" s="23" t="str">
        <f t="shared" si="18"/>
        <v/>
      </c>
      <c r="C163" s="31" t="str">
        <f t="shared" si="17"/>
        <v/>
      </c>
      <c r="D163" s="31" t="str">
        <f>IF(B163="Summe",SUM($D$8:D162),IF(B163&gt;$D$3,"",C163*$D$4))</f>
        <v/>
      </c>
      <c r="E163" s="31" t="str">
        <f>IF(B163="Summe",SUM($E$8:E162),IF(B163&gt;$D$3,"",F163-D163))</f>
        <v/>
      </c>
      <c r="F163" s="31" t="str">
        <f>IF(B163="Summe",SUM($F$8:F162),IF(B163&gt;$D$3,"",$F$3))</f>
        <v/>
      </c>
      <c r="G163" s="31" t="str">
        <f t="shared" si="13"/>
        <v/>
      </c>
      <c r="H163" s="27" t="str">
        <f t="shared" si="14"/>
        <v/>
      </c>
      <c r="I163" s="27" t="str">
        <f t="shared" si="15"/>
        <v/>
      </c>
      <c r="J163" s="27" t="str">
        <f t="shared" si="16"/>
        <v/>
      </c>
    </row>
    <row r="164" spans="2:10" x14ac:dyDescent="0.25">
      <c r="B164" s="23" t="str">
        <f t="shared" si="18"/>
        <v/>
      </c>
      <c r="C164" s="31" t="str">
        <f t="shared" si="17"/>
        <v/>
      </c>
      <c r="D164" s="31" t="str">
        <f>IF(B164="Summe",SUM($D$8:D163),IF(B164&gt;$D$3,"",C164*$D$4))</f>
        <v/>
      </c>
      <c r="E164" s="31" t="str">
        <f>IF(B164="Summe",SUM($E$8:E163),IF(B164&gt;$D$3,"",F164-D164))</f>
        <v/>
      </c>
      <c r="F164" s="31" t="str">
        <f>IF(B164="Summe",SUM($F$8:F163),IF(B164&gt;$D$3,"",$F$3))</f>
        <v/>
      </c>
      <c r="G164" s="31" t="str">
        <f t="shared" si="13"/>
        <v/>
      </c>
      <c r="H164" s="27" t="str">
        <f t="shared" si="14"/>
        <v/>
      </c>
      <c r="I164" s="27" t="str">
        <f t="shared" si="15"/>
        <v/>
      </c>
      <c r="J164" s="27" t="str">
        <f t="shared" si="16"/>
        <v/>
      </c>
    </row>
    <row r="165" spans="2:10" x14ac:dyDescent="0.25">
      <c r="B165" s="23" t="str">
        <f t="shared" si="18"/>
        <v/>
      </c>
      <c r="C165" s="31" t="str">
        <f t="shared" si="17"/>
        <v/>
      </c>
      <c r="D165" s="31" t="str">
        <f>IF(B165="Summe",SUM($D$8:D164),IF(B165&gt;$D$3,"",C165*$D$4))</f>
        <v/>
      </c>
      <c r="E165" s="31" t="str">
        <f>IF(B165="Summe",SUM($E$8:E164),IF(B165&gt;$D$3,"",F165-D165))</f>
        <v/>
      </c>
      <c r="F165" s="31" t="str">
        <f>IF(B165="Summe",SUM($F$8:F164),IF(B165&gt;$D$3,"",$F$3))</f>
        <v/>
      </c>
      <c r="G165" s="31" t="str">
        <f t="shared" si="13"/>
        <v/>
      </c>
      <c r="H165" s="27" t="str">
        <f t="shared" si="14"/>
        <v/>
      </c>
      <c r="I165" s="27" t="str">
        <f t="shared" si="15"/>
        <v/>
      </c>
      <c r="J165" s="27" t="str">
        <f t="shared" si="16"/>
        <v/>
      </c>
    </row>
    <row r="166" spans="2:10" x14ac:dyDescent="0.25">
      <c r="B166" s="23" t="str">
        <f t="shared" si="18"/>
        <v/>
      </c>
      <c r="C166" s="31" t="str">
        <f t="shared" si="17"/>
        <v/>
      </c>
      <c r="D166" s="31" t="str">
        <f>IF(B166="Summe",SUM($D$8:D165),IF(B166&gt;$D$3,"",C166*$D$4))</f>
        <v/>
      </c>
      <c r="E166" s="31" t="str">
        <f>IF(B166="Summe",SUM($E$8:E165),IF(B166&gt;$D$3,"",F166-D166))</f>
        <v/>
      </c>
      <c r="F166" s="31" t="str">
        <f>IF(B166="Summe",SUM($F$8:F165),IF(B166&gt;$D$3,"",$F$3))</f>
        <v/>
      </c>
      <c r="G166" s="31" t="str">
        <f t="shared" si="13"/>
        <v/>
      </c>
      <c r="H166" s="27" t="str">
        <f t="shared" si="14"/>
        <v/>
      </c>
      <c r="I166" s="27" t="str">
        <f t="shared" si="15"/>
        <v/>
      </c>
      <c r="J166" s="27" t="str">
        <f t="shared" si="16"/>
        <v/>
      </c>
    </row>
    <row r="167" spans="2:10" x14ac:dyDescent="0.25">
      <c r="B167" s="23" t="str">
        <f t="shared" si="18"/>
        <v/>
      </c>
      <c r="C167" s="31" t="str">
        <f t="shared" si="17"/>
        <v/>
      </c>
      <c r="D167" s="31" t="str">
        <f>IF(B167="Summe",SUM($D$8:D166),IF(B167&gt;$D$3,"",C167*$D$4))</f>
        <v/>
      </c>
      <c r="E167" s="31" t="str">
        <f>IF(B167="Summe",SUM($E$8:E166),IF(B167&gt;$D$3,"",F167-D167))</f>
        <v/>
      </c>
      <c r="F167" s="31" t="str">
        <f>IF(B167="Summe",SUM($F$8:F166),IF(B167&gt;$D$3,"",$F$3))</f>
        <v/>
      </c>
      <c r="G167" s="31" t="str">
        <f t="shared" si="13"/>
        <v/>
      </c>
      <c r="H167" s="27" t="str">
        <f t="shared" si="14"/>
        <v/>
      </c>
      <c r="I167" s="27" t="str">
        <f t="shared" si="15"/>
        <v/>
      </c>
      <c r="J167" s="27" t="str">
        <f t="shared" si="16"/>
        <v/>
      </c>
    </row>
    <row r="168" spans="2:10" x14ac:dyDescent="0.25">
      <c r="B168" s="23" t="str">
        <f t="shared" si="18"/>
        <v/>
      </c>
      <c r="C168" s="31" t="str">
        <f t="shared" si="17"/>
        <v/>
      </c>
      <c r="D168" s="31" t="str">
        <f>IF(B168="Summe",SUM($D$8:D167),IF(B168&gt;$D$3,"",C168*$D$4))</f>
        <v/>
      </c>
      <c r="E168" s="31" t="str">
        <f>IF(B168="Summe",SUM($E$8:E167),IF(B168&gt;$D$3,"",F168-D168))</f>
        <v/>
      </c>
      <c r="F168" s="31" t="str">
        <f>IF(B168="Summe",SUM($F$8:F167),IF(B168&gt;$D$3,"",$F$3))</f>
        <v/>
      </c>
      <c r="G168" s="31" t="str">
        <f t="shared" si="13"/>
        <v/>
      </c>
      <c r="H168" s="27" t="str">
        <f t="shared" si="14"/>
        <v/>
      </c>
      <c r="I168" s="27" t="str">
        <f t="shared" si="15"/>
        <v/>
      </c>
      <c r="J168" s="27" t="str">
        <f t="shared" si="16"/>
        <v/>
      </c>
    </row>
    <row r="169" spans="2:10" x14ac:dyDescent="0.25">
      <c r="B169" s="23" t="str">
        <f t="shared" si="18"/>
        <v/>
      </c>
      <c r="C169" s="31" t="str">
        <f t="shared" si="17"/>
        <v/>
      </c>
      <c r="D169" s="31" t="str">
        <f>IF(B169="Summe",SUM($D$8:D168),IF(B169&gt;$D$3,"",C169*$D$4))</f>
        <v/>
      </c>
      <c r="E169" s="31" t="str">
        <f>IF(B169="Summe",SUM($E$8:E168),IF(B169&gt;$D$3,"",F169-D169))</f>
        <v/>
      </c>
      <c r="F169" s="31" t="str">
        <f>IF(B169="Summe",SUM($F$8:F168),IF(B169&gt;$D$3,"",$F$3))</f>
        <v/>
      </c>
      <c r="G169" s="31" t="str">
        <f t="shared" si="13"/>
        <v/>
      </c>
      <c r="H169" s="27" t="str">
        <f t="shared" si="14"/>
        <v/>
      </c>
      <c r="I169" s="27" t="str">
        <f t="shared" si="15"/>
        <v/>
      </c>
      <c r="J169" s="27" t="str">
        <f t="shared" si="16"/>
        <v/>
      </c>
    </row>
    <row r="170" spans="2:10" x14ac:dyDescent="0.25">
      <c r="B170" s="23" t="str">
        <f t="shared" si="18"/>
        <v/>
      </c>
      <c r="C170" s="31" t="str">
        <f t="shared" si="17"/>
        <v/>
      </c>
      <c r="D170" s="31" t="str">
        <f>IF(B170="Summe",SUM($D$8:D169),IF(B170&gt;$D$3,"",C170*$D$4))</f>
        <v/>
      </c>
      <c r="E170" s="31" t="str">
        <f>IF(B170="Summe",SUM($E$8:E169),IF(B170&gt;$D$3,"",F170-D170))</f>
        <v/>
      </c>
      <c r="F170" s="31" t="str">
        <f>IF(B170="Summe",SUM($F$8:F169),IF(B170&gt;$D$3,"",$F$3))</f>
        <v/>
      </c>
      <c r="G170" s="31" t="str">
        <f t="shared" si="13"/>
        <v/>
      </c>
      <c r="H170" s="27" t="str">
        <f t="shared" si="14"/>
        <v/>
      </c>
      <c r="I170" s="27" t="str">
        <f t="shared" si="15"/>
        <v/>
      </c>
      <c r="J170" s="27" t="str">
        <f t="shared" si="16"/>
        <v/>
      </c>
    </row>
    <row r="171" spans="2:10" x14ac:dyDescent="0.25">
      <c r="B171" s="23" t="str">
        <f t="shared" si="18"/>
        <v/>
      </c>
      <c r="C171" s="31" t="str">
        <f t="shared" si="17"/>
        <v/>
      </c>
      <c r="D171" s="31" t="str">
        <f>IF(B171="Summe",SUM($D$8:D170),IF(B171&gt;$D$3,"",C171*$D$4))</f>
        <v/>
      </c>
      <c r="E171" s="31" t="str">
        <f>IF(B171="Summe",SUM($E$8:E170),IF(B171&gt;$D$3,"",F171-D171))</f>
        <v/>
      </c>
      <c r="F171" s="31" t="str">
        <f>IF(B171="Summe",SUM($F$8:F170),IF(B171&gt;$D$3,"",$F$3))</f>
        <v/>
      </c>
      <c r="G171" s="31" t="str">
        <f t="shared" si="13"/>
        <v/>
      </c>
      <c r="H171" s="27" t="str">
        <f t="shared" si="14"/>
        <v/>
      </c>
      <c r="I171" s="27" t="str">
        <f t="shared" si="15"/>
        <v/>
      </c>
      <c r="J171" s="27" t="str">
        <f t="shared" si="16"/>
        <v/>
      </c>
    </row>
    <row r="172" spans="2:10" x14ac:dyDescent="0.25">
      <c r="B172" s="23" t="str">
        <f t="shared" si="18"/>
        <v/>
      </c>
      <c r="C172" s="31" t="str">
        <f t="shared" si="17"/>
        <v/>
      </c>
      <c r="D172" s="31" t="str">
        <f>IF(B172="Summe",SUM($D$8:D171),IF(B172&gt;$D$3,"",C172*$D$4))</f>
        <v/>
      </c>
      <c r="E172" s="31" t="str">
        <f>IF(B172="Summe",SUM($E$8:E171),IF(B172&gt;$D$3,"",F172-D172))</f>
        <v/>
      </c>
      <c r="F172" s="31" t="str">
        <f>IF(B172="Summe",SUM($F$8:F171),IF(B172&gt;$D$3,"",$F$3))</f>
        <v/>
      </c>
      <c r="G172" s="31" t="str">
        <f t="shared" si="13"/>
        <v/>
      </c>
      <c r="H172" s="27" t="str">
        <f t="shared" si="14"/>
        <v/>
      </c>
      <c r="I172" s="27" t="str">
        <f t="shared" si="15"/>
        <v/>
      </c>
      <c r="J172" s="27" t="str">
        <f t="shared" si="16"/>
        <v/>
      </c>
    </row>
    <row r="173" spans="2:10" x14ac:dyDescent="0.25">
      <c r="B173" s="23" t="str">
        <f t="shared" si="18"/>
        <v/>
      </c>
      <c r="C173" s="31" t="str">
        <f t="shared" si="17"/>
        <v/>
      </c>
      <c r="D173" s="31" t="str">
        <f>IF(B173="Summe",SUM($D$8:D172),IF(B173&gt;$D$3,"",C173*$D$4))</f>
        <v/>
      </c>
      <c r="E173" s="31" t="str">
        <f>IF(B173="Summe",SUM($E$8:E172),IF(B173&gt;$D$3,"",F173-D173))</f>
        <v/>
      </c>
      <c r="F173" s="31" t="str">
        <f>IF(B173="Summe",SUM($F$8:F172),IF(B173&gt;$D$3,"",$F$3))</f>
        <v/>
      </c>
      <c r="G173" s="31" t="str">
        <f t="shared" si="13"/>
        <v/>
      </c>
      <c r="H173" s="27" t="str">
        <f t="shared" si="14"/>
        <v/>
      </c>
      <c r="I173" s="27" t="str">
        <f t="shared" si="15"/>
        <v/>
      </c>
      <c r="J173" s="27" t="str">
        <f t="shared" si="16"/>
        <v/>
      </c>
    </row>
    <row r="174" spans="2:10" x14ac:dyDescent="0.25">
      <c r="B174" s="23" t="str">
        <f t="shared" si="18"/>
        <v/>
      </c>
      <c r="C174" s="31" t="str">
        <f t="shared" si="17"/>
        <v/>
      </c>
      <c r="D174" s="31" t="str">
        <f>IF(B174="Summe",SUM($D$8:D173),IF(B174&gt;$D$3,"",C174*$D$4))</f>
        <v/>
      </c>
      <c r="E174" s="31" t="str">
        <f>IF(B174="Summe",SUM($E$8:E173),IF(B174&gt;$D$3,"",F174-D174))</f>
        <v/>
      </c>
      <c r="F174" s="31" t="str">
        <f>IF(B174="Summe",SUM($F$8:F173),IF(B174&gt;$D$3,"",$F$3))</f>
        <v/>
      </c>
      <c r="G174" s="31" t="str">
        <f t="shared" si="13"/>
        <v/>
      </c>
      <c r="H174" s="27" t="str">
        <f t="shared" si="14"/>
        <v/>
      </c>
      <c r="I174" s="27" t="str">
        <f t="shared" si="15"/>
        <v/>
      </c>
      <c r="J174" s="27" t="str">
        <f t="shared" si="16"/>
        <v/>
      </c>
    </row>
    <row r="175" spans="2:10" x14ac:dyDescent="0.25">
      <c r="B175" s="23" t="str">
        <f t="shared" si="18"/>
        <v/>
      </c>
      <c r="C175" s="31" t="str">
        <f t="shared" si="17"/>
        <v/>
      </c>
      <c r="D175" s="31" t="str">
        <f>IF(B175="Summe",SUM($D$8:D174),IF(B175&gt;$D$3,"",C175*$D$4))</f>
        <v/>
      </c>
      <c r="E175" s="31" t="str">
        <f>IF(B175="Summe",SUM($E$8:E174),IF(B175&gt;$D$3,"",F175-D175))</f>
        <v/>
      </c>
      <c r="F175" s="31" t="str">
        <f>IF(B175="Summe",SUM($F$8:F174),IF(B175&gt;$D$3,"",$F$3))</f>
        <v/>
      </c>
      <c r="G175" s="31" t="str">
        <f t="shared" si="13"/>
        <v/>
      </c>
      <c r="H175" s="27" t="str">
        <f t="shared" si="14"/>
        <v/>
      </c>
      <c r="I175" s="27" t="str">
        <f t="shared" si="15"/>
        <v/>
      </c>
      <c r="J175" s="27" t="str">
        <f t="shared" si="16"/>
        <v/>
      </c>
    </row>
    <row r="176" spans="2:10" x14ac:dyDescent="0.25">
      <c r="B176" s="23" t="str">
        <f t="shared" si="18"/>
        <v/>
      </c>
      <c r="C176" s="31" t="str">
        <f t="shared" si="17"/>
        <v/>
      </c>
      <c r="D176" s="31" t="str">
        <f>IF(B176="Summe",SUM($D$8:D175),IF(B176&gt;$D$3,"",C176*$D$4))</f>
        <v/>
      </c>
      <c r="E176" s="31" t="str">
        <f>IF(B176="Summe",SUM($E$8:E175),IF(B176&gt;$D$3,"",F176-D176))</f>
        <v/>
      </c>
      <c r="F176" s="31" t="str">
        <f>IF(B176="Summe",SUM($F$8:F175),IF(B176&gt;$D$3,"",$F$3))</f>
        <v/>
      </c>
      <c r="G176" s="31" t="str">
        <f t="shared" si="13"/>
        <v/>
      </c>
      <c r="H176" s="27" t="str">
        <f t="shared" si="14"/>
        <v/>
      </c>
      <c r="I176" s="27" t="str">
        <f t="shared" si="15"/>
        <v/>
      </c>
      <c r="J176" s="27" t="str">
        <f t="shared" si="16"/>
        <v/>
      </c>
    </row>
    <row r="177" spans="2:10" x14ac:dyDescent="0.25">
      <c r="B177" s="23" t="str">
        <f t="shared" si="18"/>
        <v/>
      </c>
      <c r="C177" s="31" t="str">
        <f t="shared" si="17"/>
        <v/>
      </c>
      <c r="D177" s="31" t="str">
        <f>IF(B177="Summe",SUM($D$8:D176),IF(B177&gt;$D$3,"",C177*$D$4))</f>
        <v/>
      </c>
      <c r="E177" s="31" t="str">
        <f>IF(B177="Summe",SUM($E$8:E176),IF(B177&gt;$D$3,"",F177-D177))</f>
        <v/>
      </c>
      <c r="F177" s="31" t="str">
        <f>IF(B177="Summe",SUM($F$8:F176),IF(B177&gt;$D$3,"",$F$3))</f>
        <v/>
      </c>
      <c r="G177" s="31" t="str">
        <f t="shared" si="13"/>
        <v/>
      </c>
      <c r="H177" s="27" t="str">
        <f t="shared" si="14"/>
        <v/>
      </c>
      <c r="I177" s="27" t="str">
        <f t="shared" si="15"/>
        <v/>
      </c>
      <c r="J177" s="27" t="str">
        <f t="shared" si="16"/>
        <v/>
      </c>
    </row>
    <row r="178" spans="2:10" x14ac:dyDescent="0.25">
      <c r="B178" s="23" t="str">
        <f t="shared" si="18"/>
        <v/>
      </c>
      <c r="C178" s="31" t="str">
        <f t="shared" si="17"/>
        <v/>
      </c>
      <c r="D178" s="31" t="str">
        <f>IF(B178="Summe",SUM($D$8:D177),IF(B178&gt;$D$3,"",C178*$D$4))</f>
        <v/>
      </c>
      <c r="E178" s="31" t="str">
        <f>IF(B178="Summe",SUM($E$8:E177),IF(B178&gt;$D$3,"",F178-D178))</f>
        <v/>
      </c>
      <c r="F178" s="31" t="str">
        <f>IF(B178="Summe",SUM($F$8:F177),IF(B178&gt;$D$3,"",$F$3))</f>
        <v/>
      </c>
      <c r="G178" s="31" t="str">
        <f t="shared" si="13"/>
        <v/>
      </c>
      <c r="H178" s="27" t="str">
        <f t="shared" si="14"/>
        <v/>
      </c>
      <c r="I178" s="27" t="str">
        <f t="shared" si="15"/>
        <v/>
      </c>
      <c r="J178" s="27" t="str">
        <f t="shared" si="16"/>
        <v/>
      </c>
    </row>
    <row r="179" spans="2:10" x14ac:dyDescent="0.25">
      <c r="B179" s="23" t="str">
        <f t="shared" si="18"/>
        <v/>
      </c>
      <c r="C179" s="31" t="str">
        <f t="shared" si="17"/>
        <v/>
      </c>
      <c r="D179" s="31" t="str">
        <f>IF(B179="Summe",SUM($D$8:D178),IF(B179&gt;$D$3,"",C179*$D$4))</f>
        <v/>
      </c>
      <c r="E179" s="31" t="str">
        <f>IF(B179="Summe",SUM($E$8:E178),IF(B179&gt;$D$3,"",F179-D179))</f>
        <v/>
      </c>
      <c r="F179" s="31" t="str">
        <f>IF(B179="Summe",SUM($F$8:F178),IF(B179&gt;$D$3,"",$F$3))</f>
        <v/>
      </c>
      <c r="G179" s="31" t="str">
        <f t="shared" si="13"/>
        <v/>
      </c>
      <c r="H179" s="27" t="str">
        <f t="shared" si="14"/>
        <v/>
      </c>
      <c r="I179" s="27" t="str">
        <f t="shared" si="15"/>
        <v/>
      </c>
      <c r="J179" s="27" t="str">
        <f t="shared" si="16"/>
        <v/>
      </c>
    </row>
    <row r="180" spans="2:10" x14ac:dyDescent="0.25">
      <c r="B180" s="23" t="str">
        <f t="shared" si="18"/>
        <v/>
      </c>
      <c r="C180" s="31" t="str">
        <f t="shared" si="17"/>
        <v/>
      </c>
      <c r="D180" s="31" t="str">
        <f>IF(B180="Summe",SUM($D$8:D179),IF(B180&gt;$D$3,"",C180*$D$4))</f>
        <v/>
      </c>
      <c r="E180" s="31" t="str">
        <f>IF(B180="Summe",SUM($E$8:E179),IF(B180&gt;$D$3,"",F180-D180))</f>
        <v/>
      </c>
      <c r="F180" s="31" t="str">
        <f>IF(B180="Summe",SUM($F$8:F179),IF(B180&gt;$D$3,"",$F$3))</f>
        <v/>
      </c>
      <c r="G180" s="31" t="str">
        <f t="shared" si="13"/>
        <v/>
      </c>
      <c r="H180" s="27" t="str">
        <f t="shared" si="14"/>
        <v/>
      </c>
      <c r="I180" s="27" t="str">
        <f t="shared" si="15"/>
        <v/>
      </c>
      <c r="J180" s="27" t="str">
        <f t="shared" si="16"/>
        <v/>
      </c>
    </row>
    <row r="181" spans="2:10" x14ac:dyDescent="0.25">
      <c r="B181" s="23" t="str">
        <f t="shared" si="18"/>
        <v/>
      </c>
      <c r="C181" s="31" t="str">
        <f t="shared" si="17"/>
        <v/>
      </c>
      <c r="D181" s="31" t="str">
        <f>IF(B181="Summe",SUM($D$8:D180),IF(B181&gt;$D$3,"",C181*$D$4))</f>
        <v/>
      </c>
      <c r="E181" s="31" t="str">
        <f>IF(B181="Summe",SUM($E$8:E180),IF(B181&gt;$D$3,"",F181-D181))</f>
        <v/>
      </c>
      <c r="F181" s="31" t="str">
        <f>IF(B181="Summe",SUM($F$8:F180),IF(B181&gt;$D$3,"",$F$3))</f>
        <v/>
      </c>
      <c r="G181" s="31" t="str">
        <f t="shared" si="13"/>
        <v/>
      </c>
      <c r="H181" s="27" t="str">
        <f t="shared" si="14"/>
        <v/>
      </c>
      <c r="I181" s="27" t="str">
        <f t="shared" si="15"/>
        <v/>
      </c>
      <c r="J181" s="27" t="str">
        <f t="shared" si="16"/>
        <v/>
      </c>
    </row>
    <row r="182" spans="2:10" x14ac:dyDescent="0.25">
      <c r="B182" s="23" t="str">
        <f t="shared" si="18"/>
        <v/>
      </c>
      <c r="C182" s="31" t="str">
        <f t="shared" si="17"/>
        <v/>
      </c>
      <c r="D182" s="31" t="str">
        <f>IF(B182="Summe",SUM($D$8:D181),IF(B182&gt;$D$3,"",C182*$D$4))</f>
        <v/>
      </c>
      <c r="E182" s="31" t="str">
        <f>IF(B182="Summe",SUM($E$8:E181),IF(B182&gt;$D$3,"",F182-D182))</f>
        <v/>
      </c>
      <c r="F182" s="31" t="str">
        <f>IF(B182="Summe",SUM($F$8:F181),IF(B182&gt;$D$3,"",$F$3))</f>
        <v/>
      </c>
      <c r="G182" s="31" t="str">
        <f t="shared" si="13"/>
        <v/>
      </c>
      <c r="H182" s="27" t="str">
        <f t="shared" si="14"/>
        <v/>
      </c>
      <c r="I182" s="27" t="str">
        <f t="shared" si="15"/>
        <v/>
      </c>
      <c r="J182" s="27" t="str">
        <f t="shared" si="16"/>
        <v/>
      </c>
    </row>
    <row r="183" spans="2:10" x14ac:dyDescent="0.25">
      <c r="B183" s="23" t="str">
        <f t="shared" si="18"/>
        <v/>
      </c>
      <c r="C183" s="31" t="str">
        <f t="shared" si="17"/>
        <v/>
      </c>
      <c r="D183" s="31" t="str">
        <f>IF(B183="Summe",SUM($D$8:D182),IF(B183&gt;$D$3,"",C183*$D$4))</f>
        <v/>
      </c>
      <c r="E183" s="31" t="str">
        <f>IF(B183="Summe",SUM($E$8:E182),IF(B183&gt;$D$3,"",F183-D183))</f>
        <v/>
      </c>
      <c r="F183" s="31" t="str">
        <f>IF(B183="Summe",SUM($F$8:F182),IF(B183&gt;$D$3,"",$F$3))</f>
        <v/>
      </c>
      <c r="G183" s="31" t="str">
        <f t="shared" si="13"/>
        <v/>
      </c>
      <c r="H183" s="27" t="str">
        <f t="shared" si="14"/>
        <v/>
      </c>
      <c r="I183" s="27" t="str">
        <f t="shared" si="15"/>
        <v/>
      </c>
      <c r="J183" s="27" t="str">
        <f t="shared" si="16"/>
        <v/>
      </c>
    </row>
    <row r="184" spans="2:10" x14ac:dyDescent="0.25">
      <c r="B184" s="23" t="str">
        <f t="shared" si="18"/>
        <v/>
      </c>
      <c r="C184" s="31" t="str">
        <f t="shared" si="17"/>
        <v/>
      </c>
      <c r="D184" s="31" t="str">
        <f>IF(B184="Summe",SUM($D$8:D183),IF(B184&gt;$D$3,"",C184*$D$4))</f>
        <v/>
      </c>
      <c r="E184" s="31" t="str">
        <f>IF(B184="Summe",SUM($E$8:E183),IF(B184&gt;$D$3,"",F184-D184))</f>
        <v/>
      </c>
      <c r="F184" s="31" t="str">
        <f>IF(B184="Summe",SUM($F$8:F183),IF(B184&gt;$D$3,"",$F$3))</f>
        <v/>
      </c>
      <c r="G184" s="31" t="str">
        <f t="shared" si="13"/>
        <v/>
      </c>
      <c r="H184" s="27" t="str">
        <f t="shared" si="14"/>
        <v/>
      </c>
      <c r="I184" s="27" t="str">
        <f t="shared" si="15"/>
        <v/>
      </c>
      <c r="J184" s="27" t="str">
        <f t="shared" si="16"/>
        <v/>
      </c>
    </row>
    <row r="185" spans="2:10" x14ac:dyDescent="0.25">
      <c r="B185" s="23" t="str">
        <f t="shared" si="18"/>
        <v/>
      </c>
      <c r="C185" s="31" t="str">
        <f t="shared" si="17"/>
        <v/>
      </c>
      <c r="D185" s="31" t="str">
        <f>IF(B185="Summe",SUM($D$8:D184),IF(B185&gt;$D$3,"",C185*$D$4))</f>
        <v/>
      </c>
      <c r="E185" s="31" t="str">
        <f>IF(B185="Summe",SUM($E$8:E184),IF(B185&gt;$D$3,"",F185-D185))</f>
        <v/>
      </c>
      <c r="F185" s="31" t="str">
        <f>IF(B185="Summe",SUM($F$8:F184),IF(B185&gt;$D$3,"",$F$3))</f>
        <v/>
      </c>
      <c r="G185" s="31" t="str">
        <f t="shared" si="13"/>
        <v/>
      </c>
      <c r="H185" s="27" t="str">
        <f t="shared" si="14"/>
        <v/>
      </c>
      <c r="I185" s="27" t="str">
        <f t="shared" si="15"/>
        <v/>
      </c>
      <c r="J185" s="27" t="str">
        <f t="shared" si="16"/>
        <v/>
      </c>
    </row>
    <row r="186" spans="2:10" x14ac:dyDescent="0.25">
      <c r="B186" s="23" t="str">
        <f t="shared" si="18"/>
        <v/>
      </c>
      <c r="C186" s="31" t="str">
        <f t="shared" si="17"/>
        <v/>
      </c>
      <c r="D186" s="31" t="str">
        <f>IF(B186="Summe",SUM($D$8:D185),IF(B186&gt;$D$3,"",C186*$D$4))</f>
        <v/>
      </c>
      <c r="E186" s="31" t="str">
        <f>IF(B186="Summe",SUM($E$8:E185),IF(B186&gt;$D$3,"",F186-D186))</f>
        <v/>
      </c>
      <c r="F186" s="31" t="str">
        <f>IF(B186="Summe",SUM($F$8:F185),IF(B186&gt;$D$3,"",$F$3))</f>
        <v/>
      </c>
      <c r="G186" s="31" t="str">
        <f t="shared" si="13"/>
        <v/>
      </c>
      <c r="H186" s="27" t="str">
        <f t="shared" si="14"/>
        <v/>
      </c>
      <c r="I186" s="27" t="str">
        <f t="shared" si="15"/>
        <v/>
      </c>
      <c r="J186" s="27" t="str">
        <f t="shared" si="16"/>
        <v/>
      </c>
    </row>
    <row r="187" spans="2:10" x14ac:dyDescent="0.25">
      <c r="B187" s="23" t="str">
        <f t="shared" si="18"/>
        <v/>
      </c>
      <c r="C187" s="31" t="str">
        <f t="shared" si="17"/>
        <v/>
      </c>
      <c r="D187" s="31" t="str">
        <f>IF(B187="Summe",SUM($D$8:D186),IF(B187&gt;$D$3,"",C187*$D$4))</f>
        <v/>
      </c>
      <c r="E187" s="31" t="str">
        <f>IF(B187="Summe",SUM($E$8:E186),IF(B187&gt;$D$3,"",F187-D187))</f>
        <v/>
      </c>
      <c r="F187" s="31" t="str">
        <f>IF(B187="Summe",SUM($F$8:F186),IF(B187&gt;$D$3,"",$F$3))</f>
        <v/>
      </c>
      <c r="G187" s="31" t="str">
        <f t="shared" si="13"/>
        <v/>
      </c>
      <c r="H187" s="27" t="str">
        <f t="shared" si="14"/>
        <v/>
      </c>
      <c r="I187" s="27" t="str">
        <f t="shared" si="15"/>
        <v/>
      </c>
      <c r="J187" s="27" t="str">
        <f t="shared" si="16"/>
        <v/>
      </c>
    </row>
    <row r="188" spans="2:10" x14ac:dyDescent="0.25">
      <c r="B188" s="23" t="str">
        <f t="shared" si="18"/>
        <v/>
      </c>
      <c r="C188" s="31" t="str">
        <f t="shared" si="17"/>
        <v/>
      </c>
      <c r="D188" s="31" t="str">
        <f>IF(B188="Summe",SUM($D$8:D187),IF(B188&gt;$D$3,"",C188*$D$4))</f>
        <v/>
      </c>
      <c r="E188" s="31" t="str">
        <f>IF(B188="Summe",SUM($E$8:E187),IF(B188&gt;$D$3,"",F188-D188))</f>
        <v/>
      </c>
      <c r="F188" s="31" t="str">
        <f>IF(B188="Summe",SUM($F$8:F187),IF(B188&gt;$D$3,"",$F$3))</f>
        <v/>
      </c>
      <c r="G188" s="31" t="str">
        <f t="shared" si="13"/>
        <v/>
      </c>
      <c r="H188" s="27" t="str">
        <f t="shared" si="14"/>
        <v/>
      </c>
      <c r="I188" s="27" t="str">
        <f t="shared" si="15"/>
        <v/>
      </c>
      <c r="J188" s="27" t="str">
        <f t="shared" si="16"/>
        <v/>
      </c>
    </row>
    <row r="189" spans="2:10" x14ac:dyDescent="0.25">
      <c r="B189" s="23" t="str">
        <f t="shared" si="18"/>
        <v/>
      </c>
      <c r="C189" s="31" t="str">
        <f t="shared" si="17"/>
        <v/>
      </c>
      <c r="D189" s="31" t="str">
        <f>IF(B189="Summe",SUM($D$8:D188),IF(B189&gt;$D$3,"",C189*$D$4))</f>
        <v/>
      </c>
      <c r="E189" s="31" t="str">
        <f>IF(B189="Summe",SUM($E$8:E188),IF(B189&gt;$D$3,"",F189-D189))</f>
        <v/>
      </c>
      <c r="F189" s="31" t="str">
        <f>IF(B189="Summe",SUM($F$8:F188),IF(B189&gt;$D$3,"",$F$3))</f>
        <v/>
      </c>
      <c r="G189" s="31" t="str">
        <f t="shared" si="13"/>
        <v/>
      </c>
      <c r="H189" s="27" t="str">
        <f t="shared" si="14"/>
        <v/>
      </c>
      <c r="I189" s="27" t="str">
        <f t="shared" si="15"/>
        <v/>
      </c>
      <c r="J189" s="27" t="str">
        <f t="shared" si="16"/>
        <v/>
      </c>
    </row>
    <row r="190" spans="2:10" x14ac:dyDescent="0.25">
      <c r="B190" s="23" t="str">
        <f t="shared" si="18"/>
        <v/>
      </c>
      <c r="C190" s="31" t="str">
        <f t="shared" si="17"/>
        <v/>
      </c>
      <c r="D190" s="31" t="str">
        <f>IF(B190="Summe",SUM($D$8:D189),IF(B190&gt;$D$3,"",C190*$D$4))</f>
        <v/>
      </c>
      <c r="E190" s="31" t="str">
        <f>IF(B190="Summe",SUM($E$8:E189),IF(B190&gt;$D$3,"",F190-D190))</f>
        <v/>
      </c>
      <c r="F190" s="31" t="str">
        <f>IF(B190="Summe",SUM($F$8:F189),IF(B190&gt;$D$3,"",$F$3))</f>
        <v/>
      </c>
      <c r="G190" s="31" t="str">
        <f t="shared" si="13"/>
        <v/>
      </c>
      <c r="H190" s="27" t="str">
        <f t="shared" si="14"/>
        <v/>
      </c>
      <c r="I190" s="27" t="str">
        <f t="shared" si="15"/>
        <v/>
      </c>
      <c r="J190" s="27" t="str">
        <f t="shared" si="16"/>
        <v/>
      </c>
    </row>
    <row r="191" spans="2:10" x14ac:dyDescent="0.25">
      <c r="B191" s="23" t="str">
        <f t="shared" si="18"/>
        <v/>
      </c>
      <c r="C191" s="31" t="str">
        <f t="shared" si="17"/>
        <v/>
      </c>
      <c r="D191" s="31" t="str">
        <f>IF(B191="Summe",SUM($D$8:D190),IF(B191&gt;$D$3,"",C191*$D$4))</f>
        <v/>
      </c>
      <c r="E191" s="31" t="str">
        <f>IF(B191="Summe",SUM($E$8:E190),IF(B191&gt;$D$3,"",F191-D191))</f>
        <v/>
      </c>
      <c r="F191" s="31" t="str">
        <f>IF(B191="Summe",SUM($F$8:F190),IF(B191&gt;$D$3,"",$F$3))</f>
        <v/>
      </c>
      <c r="G191" s="31" t="str">
        <f t="shared" si="13"/>
        <v/>
      </c>
      <c r="H191" s="27" t="str">
        <f t="shared" si="14"/>
        <v/>
      </c>
      <c r="I191" s="27" t="str">
        <f t="shared" si="15"/>
        <v/>
      </c>
      <c r="J191" s="27" t="str">
        <f t="shared" si="16"/>
        <v/>
      </c>
    </row>
    <row r="192" spans="2:10" x14ac:dyDescent="0.25">
      <c r="B192" s="23" t="str">
        <f t="shared" si="18"/>
        <v/>
      </c>
      <c r="C192" s="31" t="str">
        <f t="shared" si="17"/>
        <v/>
      </c>
      <c r="D192" s="31" t="str">
        <f>IF(B192="Summe",SUM($D$8:D191),IF(B192&gt;$D$3,"",C192*$D$4))</f>
        <v/>
      </c>
      <c r="E192" s="31" t="str">
        <f>IF(B192="Summe",SUM($E$8:E191),IF(B192&gt;$D$3,"",F192-D192))</f>
        <v/>
      </c>
      <c r="F192" s="31" t="str">
        <f>IF(B192="Summe",SUM($F$8:F191),IF(B192&gt;$D$3,"",$F$3))</f>
        <v/>
      </c>
      <c r="G192" s="31" t="str">
        <f t="shared" si="13"/>
        <v/>
      </c>
      <c r="H192" s="27" t="str">
        <f t="shared" si="14"/>
        <v/>
      </c>
      <c r="I192" s="27" t="str">
        <f t="shared" si="15"/>
        <v/>
      </c>
      <c r="J192" s="27" t="str">
        <f t="shared" si="16"/>
        <v/>
      </c>
    </row>
    <row r="193" spans="2:10" x14ac:dyDescent="0.25">
      <c r="B193" s="23" t="str">
        <f t="shared" si="18"/>
        <v/>
      </c>
      <c r="C193" s="31" t="str">
        <f t="shared" si="17"/>
        <v/>
      </c>
      <c r="D193" s="31" t="str">
        <f>IF(B193="Summe",SUM($D$8:D192),IF(B193&gt;$D$3,"",C193*$D$4))</f>
        <v/>
      </c>
      <c r="E193" s="31" t="str">
        <f>IF(B193="Summe",SUM($E$8:E192),IF(B193&gt;$D$3,"",F193-D193))</f>
        <v/>
      </c>
      <c r="F193" s="31" t="str">
        <f>IF(B193="Summe",SUM($F$8:F192),IF(B193&gt;$D$3,"",$F$3))</f>
        <v/>
      </c>
      <c r="G193" s="31" t="str">
        <f t="shared" si="13"/>
        <v/>
      </c>
      <c r="H193" s="27" t="str">
        <f t="shared" si="14"/>
        <v/>
      </c>
      <c r="I193" s="27" t="str">
        <f t="shared" si="15"/>
        <v/>
      </c>
      <c r="J193" s="27" t="str">
        <f t="shared" si="16"/>
        <v/>
      </c>
    </row>
    <row r="194" spans="2:10" x14ac:dyDescent="0.25">
      <c r="B194" s="23" t="str">
        <f t="shared" si="18"/>
        <v/>
      </c>
      <c r="C194" s="31" t="str">
        <f t="shared" si="17"/>
        <v/>
      </c>
      <c r="D194" s="31" t="str">
        <f>IF(B194="Summe",SUM($D$8:D193),IF(B194&gt;$D$3,"",C194*$D$4))</f>
        <v/>
      </c>
      <c r="E194" s="31" t="str">
        <f>IF(B194="Summe",SUM($E$8:E193),IF(B194&gt;$D$3,"",F194-D194))</f>
        <v/>
      </c>
      <c r="F194" s="31" t="str">
        <f>IF(B194="Summe",SUM($F$8:F193),IF(B194&gt;$D$3,"",$F$3))</f>
        <v/>
      </c>
      <c r="G194" s="31" t="str">
        <f t="shared" si="13"/>
        <v/>
      </c>
      <c r="H194" s="27" t="str">
        <f t="shared" si="14"/>
        <v/>
      </c>
      <c r="I194" s="27" t="str">
        <f t="shared" si="15"/>
        <v/>
      </c>
      <c r="J194" s="27" t="str">
        <f t="shared" si="16"/>
        <v/>
      </c>
    </row>
    <row r="195" spans="2:10" x14ac:dyDescent="0.25">
      <c r="B195" s="23" t="str">
        <f t="shared" si="18"/>
        <v/>
      </c>
      <c r="C195" s="31" t="str">
        <f t="shared" si="17"/>
        <v/>
      </c>
      <c r="D195" s="31" t="str">
        <f>IF(B195="Summe",SUM($D$8:D194),IF(B195&gt;$D$3,"",C195*$D$4))</f>
        <v/>
      </c>
      <c r="E195" s="31" t="str">
        <f>IF(B195="Summe",SUM($E$8:E194),IF(B195&gt;$D$3,"",F195-D195))</f>
        <v/>
      </c>
      <c r="F195" s="31" t="str">
        <f>IF(B195="Summe",SUM($F$8:F194),IF(B195&gt;$D$3,"",$F$3))</f>
        <v/>
      </c>
      <c r="G195" s="31" t="str">
        <f t="shared" si="13"/>
        <v/>
      </c>
      <c r="H195" s="27" t="str">
        <f t="shared" si="14"/>
        <v/>
      </c>
      <c r="I195" s="27" t="str">
        <f t="shared" si="15"/>
        <v/>
      </c>
      <c r="J195" s="27" t="str">
        <f t="shared" si="16"/>
        <v/>
      </c>
    </row>
    <row r="196" spans="2:10" x14ac:dyDescent="0.25">
      <c r="B196" s="23" t="str">
        <f t="shared" si="18"/>
        <v/>
      </c>
      <c r="C196" s="31" t="str">
        <f t="shared" si="17"/>
        <v/>
      </c>
      <c r="D196" s="31" t="str">
        <f>IF(B196="Summe",SUM($D$8:D195),IF(B196&gt;$D$3,"",C196*$D$4))</f>
        <v/>
      </c>
      <c r="E196" s="31" t="str">
        <f>IF(B196="Summe",SUM($E$8:E195),IF(B196&gt;$D$3,"",F196-D196))</f>
        <v/>
      </c>
      <c r="F196" s="31" t="str">
        <f>IF(B196="Summe",SUM($F$8:F195),IF(B196&gt;$D$3,"",$F$3))</f>
        <v/>
      </c>
      <c r="G196" s="31" t="str">
        <f t="shared" si="13"/>
        <v/>
      </c>
      <c r="H196" s="27" t="str">
        <f t="shared" si="14"/>
        <v/>
      </c>
      <c r="I196" s="27" t="str">
        <f t="shared" si="15"/>
        <v/>
      </c>
      <c r="J196" s="27" t="str">
        <f t="shared" si="16"/>
        <v/>
      </c>
    </row>
    <row r="197" spans="2:10" x14ac:dyDescent="0.25">
      <c r="B197" s="23" t="str">
        <f t="shared" si="18"/>
        <v/>
      </c>
      <c r="C197" s="31" t="str">
        <f t="shared" si="17"/>
        <v/>
      </c>
      <c r="D197" s="31" t="str">
        <f>IF(B197="Summe",SUM($D$8:D196),IF(B197&gt;$D$3,"",C197*$D$4))</f>
        <v/>
      </c>
      <c r="E197" s="31" t="str">
        <f>IF(B197="Summe",SUM($E$8:E196),IF(B197&gt;$D$3,"",F197-D197))</f>
        <v/>
      </c>
      <c r="F197" s="31" t="str">
        <f>IF(B197="Summe",SUM($F$8:F196),IF(B197&gt;$D$3,"",$F$3))</f>
        <v/>
      </c>
      <c r="G197" s="31" t="str">
        <f t="shared" si="13"/>
        <v/>
      </c>
      <c r="H197" s="27" t="str">
        <f t="shared" si="14"/>
        <v/>
      </c>
      <c r="I197" s="27" t="str">
        <f t="shared" si="15"/>
        <v/>
      </c>
      <c r="J197" s="27" t="str">
        <f t="shared" si="16"/>
        <v/>
      </c>
    </row>
    <row r="198" spans="2:10" x14ac:dyDescent="0.25">
      <c r="B198" s="23" t="str">
        <f t="shared" si="18"/>
        <v/>
      </c>
      <c r="C198" s="31" t="str">
        <f t="shared" si="17"/>
        <v/>
      </c>
      <c r="D198" s="31" t="str">
        <f>IF(B198="Summe",SUM($D$8:D197),IF(B198&gt;$D$3,"",C198*$D$4))</f>
        <v/>
      </c>
      <c r="E198" s="31" t="str">
        <f>IF(B198="Summe",SUM($E$8:E197),IF(B198&gt;$D$3,"",F198-D198))</f>
        <v/>
      </c>
      <c r="F198" s="31" t="str">
        <f>IF(B198="Summe",SUM($F$8:F197),IF(B198&gt;$D$3,"",$F$3))</f>
        <v/>
      </c>
      <c r="G198" s="31" t="str">
        <f t="shared" si="13"/>
        <v/>
      </c>
      <c r="H198" s="27" t="str">
        <f t="shared" si="14"/>
        <v/>
      </c>
      <c r="I198" s="27" t="str">
        <f t="shared" si="15"/>
        <v/>
      </c>
      <c r="J198" s="27" t="str">
        <f t="shared" si="16"/>
        <v/>
      </c>
    </row>
    <row r="199" spans="2:10" x14ac:dyDescent="0.25">
      <c r="B199" s="23" t="str">
        <f t="shared" si="18"/>
        <v/>
      </c>
      <c r="C199" s="31" t="str">
        <f t="shared" si="17"/>
        <v/>
      </c>
      <c r="D199" s="31" t="str">
        <f>IF(B199="Summe",SUM($D$8:D198),IF(B199&gt;$D$3,"",C199*$D$4))</f>
        <v/>
      </c>
      <c r="E199" s="31" t="str">
        <f>IF(B199="Summe",SUM($E$8:E198),IF(B199&gt;$D$3,"",F199-D199))</f>
        <v/>
      </c>
      <c r="F199" s="31" t="str">
        <f>IF(B199="Summe",SUM($F$8:F198),IF(B199&gt;$D$3,"",$F$3))</f>
        <v/>
      </c>
      <c r="G199" s="31" t="str">
        <f t="shared" si="13"/>
        <v/>
      </c>
      <c r="H199" s="27" t="str">
        <f t="shared" si="14"/>
        <v/>
      </c>
      <c r="I199" s="27" t="str">
        <f t="shared" si="15"/>
        <v/>
      </c>
      <c r="J199" s="27" t="str">
        <f t="shared" si="16"/>
        <v/>
      </c>
    </row>
    <row r="200" spans="2:10" x14ac:dyDescent="0.25">
      <c r="B200" s="23" t="str">
        <f t="shared" si="18"/>
        <v/>
      </c>
      <c r="C200" s="31" t="str">
        <f>IF(OR(B200="Summe",B200&gt;$D$3),"",G199)</f>
        <v/>
      </c>
      <c r="D200" s="31" t="str">
        <f>IF(B200="Summe",SUM($D$8:D199),IF(B200&gt;$D$3,"",C200*$D$4))</f>
        <v/>
      </c>
      <c r="E200" s="31" t="str">
        <f>IF(B200="Summe",SUM($E$8:E199),IF(B200&gt;$D$3,"",F200-D200))</f>
        <v/>
      </c>
      <c r="F200" s="31" t="str">
        <f>IF(B200="Summe",SUM($F$8:F199),IF(B200&gt;$D$3,"",$F$3))</f>
        <v/>
      </c>
      <c r="G200" s="31"/>
    </row>
  </sheetData>
  <mergeCells count="1">
    <mergeCell ref="H6:J6"/>
  </mergeCells>
  <conditionalFormatting sqref="B198 B196 B194 B192 B190 B188 B186 B184 B182 B180 B178 B176 B174 B172 B170 B168 B166 B164 B162 B160 B158 B156 B154 B152 B150 B148 B146 B144 B142 B140 B138 B136 B134 B132 B130 B128 B126 B124 B122 B120 B118 B116 B114 B112 B110 B108 B106 B104 B102 B100 B98 B96 B94 B92 B90 B88 B86 B84 B82 B80 B78 B76 B74 B72 B70 B68 B66 B64 B62 B60 B58 B56 B54 B52 B50 B48 B46 B44 B42 B40 B38 B36 B34 B32 B30 B28 B26 B24 B22 B20 B18 B16 B14 B10 B12">
    <cfRule type="cellIs" dxfId="58" priority="1" stopIfTrue="1" operator="equal">
      <formula>B9</formula>
    </cfRule>
    <cfRule type="cellIs" dxfId="57" priority="2" stopIfTrue="1" operator="equal">
      <formula>B11</formula>
    </cfRule>
    <cfRule type="cellIs" dxfId="56" priority="3" stopIfTrue="1" operator="notEqual">
      <formula>B9</formula>
    </cfRule>
  </conditionalFormatting>
  <conditionalFormatting sqref="B200">
    <cfRule type="cellIs" dxfId="55" priority="4" stopIfTrue="1" operator="equal">
      <formula>B199</formula>
    </cfRule>
    <cfRule type="cellIs" dxfId="54" priority="5" stopIfTrue="1" operator="equal">
      <formula>B201</formula>
    </cfRule>
    <cfRule type="cellIs" dxfId="53" priority="6" stopIfTrue="1" operator="notEqual">
      <formula>B199</formula>
    </cfRule>
  </conditionalFormatting>
  <conditionalFormatting sqref="B11 B13 B15 B17 B19 B21 B23 B25 B27 B29 B31 B33 B35 B37 B39 B41 B43 B45 B47 B49 B51 B53 B55 B57 B59 B61 B63 B65 B67 B69 B71 B73 B75 B77 B79 B81 B83 B85 B87 B89 B91 B93 B95 B97 B99 B101 B103 B105 B107 B109 B111 B113 B115 B117 B119 B121 B123 B125 B127 B129 B131 B133 B135 B137 B139 B141 B143 B145 B147 B149 B151 B153 B155 B157 B159 B161 B163 B165 B167 B169 B171 B173 B175 B177 B179 B181 B183 B185 B187 B189 B191 B193 B195 B197 B199">
    <cfRule type="cellIs" dxfId="52" priority="7" stopIfTrue="1" operator="equal">
      <formula>B10</formula>
    </cfRule>
    <cfRule type="cellIs" dxfId="51" priority="8" stopIfTrue="1" operator="equal">
      <formula>B12</formula>
    </cfRule>
    <cfRule type="cellIs" dxfId="50" priority="9" stopIfTrue="1" operator="notEqual">
      <formula>B10</formula>
    </cfRule>
  </conditionalFormatting>
  <conditionalFormatting sqref="B9">
    <cfRule type="cellIs" dxfId="49" priority="10" stopIfTrue="1" operator="equal">
      <formula>""</formula>
    </cfRule>
    <cfRule type="cellIs" dxfId="48" priority="11" stopIfTrue="1" operator="equal">
      <formula>"Summe"</formula>
    </cfRule>
    <cfRule type="cellIs" dxfId="47" priority="12" stopIfTrue="1" operator="notEqual">
      <formula>$B$8</formula>
    </cfRule>
  </conditionalFormatting>
  <conditionalFormatting sqref="F198 F196 F194 F192 F190 F188 F186 F184 F182 F180 F178 F176 F174 F172 F170 F168 F166 F164 F162 F160 F158 F156 F154 F152 F150 F148 F146 F144 F142 F140 F138 F136 F134 F132 F130 F128 F126 F124 F122 F120 F118 F116 F114 F112 F110 F108 F106 F104 F102 F100 F98 F96 F94 F92 F90 F88 F86 F84 F82 F80 F78 F76 F74 F72 F70 F68 F66 F64 F62 F60 F58 F56 F54 F52 F50 F48 F46 F44 F42 F40 F36 F34 F32 F30 F28 F26 F24 F22 F20 F18 F16 F14 F10 F12">
    <cfRule type="cellIs" dxfId="46" priority="13" stopIfTrue="1" operator="equal">
      <formula>$F$3</formula>
    </cfRule>
    <cfRule type="cellIs" dxfId="45" priority="14" stopIfTrue="1" operator="notEqual">
      <formula>F11</formula>
    </cfRule>
    <cfRule type="cellIs" dxfId="44" priority="15" stopIfTrue="1" operator="notEqual">
      <formula>F9</formula>
    </cfRule>
  </conditionalFormatting>
  <conditionalFormatting sqref="F200">
    <cfRule type="cellIs" dxfId="43" priority="16" stopIfTrue="1" operator="equal">
      <formula>$F$3</formula>
    </cfRule>
    <cfRule type="cellIs" dxfId="42" priority="17" stopIfTrue="1" operator="notEqual">
      <formula>$F$201</formula>
    </cfRule>
    <cfRule type="cellIs" dxfId="41" priority="18" stopIfTrue="1" operator="notEqual">
      <formula>$F$199</formula>
    </cfRule>
  </conditionalFormatting>
  <conditionalFormatting sqref="G8">
    <cfRule type="cellIs" dxfId="40" priority="19" stopIfTrue="1" operator="between">
      <formula>0</formula>
      <formula>0.1</formula>
    </cfRule>
    <cfRule type="cellIs" dxfId="39" priority="20" stopIfTrue="1" operator="notBetween">
      <formula>0</formula>
      <formula>0.1</formula>
    </cfRule>
  </conditionalFormatting>
  <conditionalFormatting sqref="G198 G196 G194 G192 G190 G188 G186 G184 G182 G180 G178 G176 G174 G172 G170 G168 G166 G164 G162 G160 G158 G156 G154 G152 G150 G148 G146 G144 G142 G140 G138 G136 G134 G132 G130 G128 G126 G124 G122 G120 G118 G116 G114 G112 G110 G108 G106 G104 G102 G100 G98 G96 G94 G92 G90 G88 G86 G84 G82 G80 G78 G74 G72 G70 G68 G66 G64 G62 G60 G58 G56 G54 G52 G50 G48 G44 G42 G40 G38 G36 G34 G32 G30 G28 G26 G24 G22 G20 G18 G16 G14 G12 G10">
    <cfRule type="cellIs" dxfId="38" priority="21" stopIfTrue="1" operator="between">
      <formula>0.99</formula>
      <formula>$D$5</formula>
    </cfRule>
    <cfRule type="cellIs" dxfId="37" priority="22" stopIfTrue="1" operator="between">
      <formula>-0.9</formula>
      <formula>0.98</formula>
    </cfRule>
    <cfRule type="cellIs" dxfId="36" priority="23" stopIfTrue="1" operator="equal">
      <formula>""</formula>
    </cfRule>
  </conditionalFormatting>
  <conditionalFormatting sqref="E200 E198 E196 E194 E192 E190 E188 E186 E184 E182 E180 E178 E176 E174 E172 E170 E168 E166 E164 E162 E160 E158 E156 E154 E152 E150 E148 E146 E144 E142 E140 E138 E136 E134 E132 E130 E128 E126 E124 E122 E120 E118 E116 E114 E112 E110 E108 E106 E104 E102 E100 E98 E96 E94 E92 E90 E88 E86 E84 E82 E80 E78 E76 E74 E72 E70 E68 E66 E64 E62 E60 E58 E56 E54 E52 E50 E48 E46 E44 E42 E40 E38 E36 E34 E32 E30 E28 E26 E24 E22 E20 E18 E16 E14 E10 E12">
    <cfRule type="cellIs" dxfId="35" priority="24" stopIfTrue="1" operator="between">
      <formula>$D$5</formula>
      <formula>$D$5-0.1</formula>
    </cfRule>
    <cfRule type="cellIs" dxfId="34" priority="25" stopIfTrue="1" operator="between">
      <formula>0</formula>
      <formula>$D$5-0.11</formula>
    </cfRule>
    <cfRule type="cellIs" dxfId="33" priority="26" stopIfTrue="1" operator="equal">
      <formula>""</formula>
    </cfRule>
  </conditionalFormatting>
  <conditionalFormatting sqref="D198 D196 D194 D192 D190 D188 D186 D184 D182 D180 D178 D176 D174 D172 D170 D168 D166 D164 D162 D160 D158 D156 D154 D152 D150 D148 D146 D144 D142 D140 D138 D136 D134 D132 D130 D128 D126 D124 D122 D120 D118 D116 D114 D112 D110 D108 D104 D102 D100 D98 D96 D94 D92 D90 D88 D86 D84 D82 D80 D78 D76 D74 D72 D70 D68 D66 D64 D62 D60 D58 D56 D54 D52 D50 D48 D46 D44 D42 D40 D38 D36 D34 D32 D30 D28 D26 D24 D22 D20 D18 D16 D14 D10 D12 D106">
    <cfRule type="cellIs" dxfId="32" priority="27" stopIfTrue="1" operator="equal">
      <formula>""</formula>
    </cfRule>
    <cfRule type="cellIs" dxfId="31" priority="28" stopIfTrue="1" operator="lessThanOrEqual">
      <formula>D9</formula>
    </cfRule>
    <cfRule type="cellIs" dxfId="30" priority="29" stopIfTrue="1" operator="lessThan">
      <formula>D11</formula>
    </cfRule>
  </conditionalFormatting>
  <conditionalFormatting sqref="D200">
    <cfRule type="cellIs" dxfId="29" priority="30" stopIfTrue="1" operator="equal">
      <formula>""</formula>
    </cfRule>
    <cfRule type="cellIs" dxfId="28" priority="31" stopIfTrue="1" operator="lessThanOrEqual">
      <formula>D199</formula>
    </cfRule>
    <cfRule type="cellIs" dxfId="27" priority="32" stopIfTrue="1" operator="greaterThanOrEqual">
      <formula>D201</formula>
    </cfRule>
  </conditionalFormatting>
  <conditionalFormatting sqref="C200 C198 C196 C194 C192 C190 C188 C186 C184 C182 C180 C178 C176 C174 C172 C170 C168 C166 C164 C162 C160 C158 C156 C154 C152 C150 C148 C146 C144 C142 C140 C138 C136 C134 C132 C130 C128 C126 C124 C122 C120 C118 C116 C114 C112 C110 C108 C106 C104 C102 C100 C98 C96 C94 C92 C90 C88 C86 C84 C82 C80 C78 C76 C74 C72 C70 C68 C66 C64 C62 C60 C58 C56 C54 C52 C50 C48 C46 C44 C42 C40 C38 C36 C34 C32 C30 C28 C26 C24 C22 C20 C18 C16 C14 C12 C10">
    <cfRule type="cellIs" dxfId="26" priority="33" stopIfTrue="1" operator="equal">
      <formula>C9</formula>
    </cfRule>
    <cfRule type="cellIs" dxfId="25" priority="34" stopIfTrue="1" operator="lessThanOrEqual">
      <formula>C9</formula>
    </cfRule>
    <cfRule type="cellIs" dxfId="24" priority="35" stopIfTrue="1" operator="greaterThan">
      <formula>C9</formula>
    </cfRule>
  </conditionalFormatting>
  <conditionalFormatting sqref="C9 C11 C13 C15 C17 C19 C21 C23 C25 C27 C29 C31 C33 C35 C37 C39 C41 C43 C45 C47 C49 C51 C53 C55 C57 C59 C61 C63 C65 C67 C69 C71 C73 C75 C77 C79 C81 C83 C85 C87 C89 C91 C93 C95 C97 C99 C101 C103 C105 C107 C109 C111 C113 C115 C117 C119 C121 C123 C125 C127 C129 C131 C133 C135 C137 C139 C141 C143 C145 C147 C149 C151 C153 C155 C157 C159 C161 C163 C165 C167 C169 C171 C173 C175 C177 C179 C181 C183 C185 C187 C189 C191 C193 C195 C197 C199">
    <cfRule type="cellIs" dxfId="23" priority="36" stopIfTrue="1" operator="equal">
      <formula>C8</formula>
    </cfRule>
    <cfRule type="cellIs" dxfId="22" priority="37" stopIfTrue="1" operator="lessThanOrEqual">
      <formula>C8</formula>
    </cfRule>
    <cfRule type="cellIs" dxfId="21" priority="38" stopIfTrue="1" operator="greaterThan">
      <formula>C8</formula>
    </cfRule>
  </conditionalFormatting>
  <conditionalFormatting sqref="D9">
    <cfRule type="cellIs" dxfId="20" priority="39" stopIfTrue="1" operator="equal">
      <formula>""</formula>
    </cfRule>
    <cfRule type="cellIs" dxfId="19" priority="40" stopIfTrue="1" operator="lessThan">
      <formula>D8</formula>
    </cfRule>
    <cfRule type="cellIs" dxfId="18" priority="41" stopIfTrue="1" operator="lessThanOrEqual">
      <formula>D10</formula>
    </cfRule>
  </conditionalFormatting>
  <conditionalFormatting sqref="D11 D13 D15 D17 D19 D21 D23 D25 D27 D29 D31 D33 D35 D37 D39 D41 D43 D45 D47 D49 D51 D53 D55 D57 D59 D61 D63 D65 D67 D69 D71 D73 D75 D77 D79 D81 D83 D85 D87 D89 D91 D93 D95 D97 D99 D101 D103 D199 D109 D111 D113 D115 D117 D119 D121 D123 D125 D127 D129 D131 D133 D135 D137 D139 D141 D143 D145 D147 D149 D151 D153 D155 D157 D159 D161 D163 D165 D167 D169 D171 D173 D175 D177 D179 D181 D183 D185 D187 D189 D191 D193 D195 D197 D105 D107">
    <cfRule type="cellIs" dxfId="17" priority="42" stopIfTrue="1" operator="equal">
      <formula>""</formula>
    </cfRule>
    <cfRule type="cellIs" dxfId="16" priority="43" stopIfTrue="1" operator="lessThanOrEqual">
      <formula>D10</formula>
    </cfRule>
    <cfRule type="cellIs" dxfId="15" priority="44" stopIfTrue="1" operator="lessThan">
      <formula>D12</formula>
    </cfRule>
  </conditionalFormatting>
  <conditionalFormatting sqref="E9 E11 E13 E15 E17 E19 E21 E23 E25 E27 E29 E31 E33 E35 E37 E39 E41 E43 E45 E47 E49 E51 E53 E55 E57 E59 E61 E63 E65 E67 E69 E71 E73 E75 E77 E79 E81 E83 E85 E87 E89 E91 E93 E95 E97 E99 E101 E103 E105 E107 E109 E111 E113 E115 E117 E119 E121 E123 E125 E127 E129 E131 E133 E135 E137 E139 E141 E143 E145 E147 E149 E151 E153 E155 E157 E159 E161 E163 E165 E167 E169 E171 E173 E175 E177 E179 E181 E183 E185 E187 E189 E191 E193 E195 E197 E199">
    <cfRule type="cellIs" dxfId="14" priority="45" stopIfTrue="1" operator="between">
      <formula>$D$5</formula>
      <formula>$D$5-0.1</formula>
    </cfRule>
    <cfRule type="cellIs" dxfId="13" priority="46" stopIfTrue="1" operator="between">
      <formula>0</formula>
      <formula>$D$5-0.11</formula>
    </cfRule>
    <cfRule type="cellIs" dxfId="12" priority="47" stopIfTrue="1" operator="equal">
      <formula>""</formula>
    </cfRule>
  </conditionalFormatting>
  <conditionalFormatting sqref="F9 F11 F13 F15 F17 F19 F21 F23 F25 F27 F29 F31 F33 F35 F199 F41 F43 F45 F47 F49 F51 F53 F55 F57 F59 F61 F63 F65 F67 F69 F71 F73 F75 F77 F79 F81 F83 F85 F87 F89 F91 F93 F95 F97 F99 F101 F103 F105 F107 F109 F111 F113 F115 F117 F119 F121 F123 F125 F127 F129 F131 F133 F135 F137 F139 F141 F143 F145 F147 F149 F151 F153 F155 F157 F159 F161 F163 F165 F167 F169 F171 F173 F175 F177 F179 F181 F183 F185 F187 F189 F191 F193 F195 F197 F37 F39">
    <cfRule type="cellIs" dxfId="11" priority="48" stopIfTrue="1" operator="equal">
      <formula>$F$3</formula>
    </cfRule>
    <cfRule type="cellIs" dxfId="10" priority="49" stopIfTrue="1" operator="notEqual">
      <formula>F10</formula>
    </cfRule>
    <cfRule type="cellIs" dxfId="9" priority="50" stopIfTrue="1" operator="notEqual">
      <formula>F8</formula>
    </cfRule>
  </conditionalFormatting>
  <conditionalFormatting sqref="F38">
    <cfRule type="cellIs" dxfId="8" priority="51" stopIfTrue="1" operator="equal">
      <formula>$F$3</formula>
    </cfRule>
    <cfRule type="cellIs" dxfId="7" priority="52" stopIfTrue="1" operator="notEqual">
      <formula>F39</formula>
    </cfRule>
    <cfRule type="cellIs" dxfId="6" priority="53" stopIfTrue="1" operator="notEqual">
      <formula>F37</formula>
    </cfRule>
  </conditionalFormatting>
  <conditionalFormatting sqref="G9 G11 G13 G15 G17 G19 G21 G23 G25 G27 G29 G31 G33 G35 G37 G39 G41 G43 G199 G49 G51 G53 G55 G57 G59 G61 G63 G65 G67 G69 G71 G73 G47 G79 G81 G83 G85 G87 G89 G91 G93 G95 G97 G99 G101 G103 G105 G107 G109 G111 G113 G115 G117 G119 G121 G123 G125 G127 G129 G131 G133 G135 G137 G139 G141 G143 G145 G147 G149 G151 G153 G155 G157 G159 G161 G163 G165 G167 G169 G171 G173 G175 G177 G179 G181 G183 G185 G187 G189 G191 G193 G195 G197 G45 G75 G77">
    <cfRule type="cellIs" dxfId="5" priority="54" stopIfTrue="1" operator="between">
      <formula>0.99</formula>
      <formula>$D$5</formula>
    </cfRule>
    <cfRule type="cellIs" dxfId="4" priority="55" stopIfTrue="1" operator="between">
      <formula>-0.9</formula>
      <formula>0.98</formula>
    </cfRule>
    <cfRule type="cellIs" dxfId="3" priority="56" stopIfTrue="1" operator="equal">
      <formula>""</formula>
    </cfRule>
  </conditionalFormatting>
  <conditionalFormatting sqref="G76 G46">
    <cfRule type="cellIs" dxfId="2" priority="57" stopIfTrue="1" operator="between">
      <formula>0.99</formula>
      <formula>$D$5</formula>
    </cfRule>
    <cfRule type="cellIs" dxfId="1" priority="58" stopIfTrue="1" operator="between">
      <formula>-0.9</formula>
      <formula>0.98</formula>
    </cfRule>
    <cfRule type="cellIs" dxfId="0" priority="59" stopIfTrue="1" operator="equal">
      <formula>""</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4"/>
  <dimension ref="A1:J64"/>
  <sheetViews>
    <sheetView workbookViewId="0">
      <selection activeCell="H14" sqref="H14"/>
    </sheetView>
  </sheetViews>
  <sheetFormatPr baseColWidth="10" defaultColWidth="11" defaultRowHeight="15.75" x14ac:dyDescent="0.25"/>
  <cols>
    <col min="3" max="3" width="24" bestFit="1" customWidth="1"/>
  </cols>
  <sheetData>
    <row r="1" spans="1:10" x14ac:dyDescent="0.25">
      <c r="B1" s="1" t="s">
        <v>0</v>
      </c>
      <c r="C1" s="1"/>
    </row>
    <row r="3" spans="1:10" x14ac:dyDescent="0.25">
      <c r="A3" t="s">
        <v>67</v>
      </c>
      <c r="B3" t="s">
        <v>1</v>
      </c>
      <c r="C3" t="s">
        <v>89</v>
      </c>
      <c r="D3" t="s">
        <v>2</v>
      </c>
    </row>
    <row r="4" spans="1:10" x14ac:dyDescent="0.25">
      <c r="A4" t="s">
        <v>68</v>
      </c>
      <c r="B4" t="s">
        <v>3</v>
      </c>
      <c r="C4" t="str">
        <f>A4&amp;"-"&amp;B4</f>
        <v>Dortmund-Aplerbeck</v>
      </c>
      <c r="D4" s="10">
        <v>7.23</v>
      </c>
      <c r="H4" s="39"/>
      <c r="I4" s="39"/>
      <c r="J4" s="39"/>
    </row>
    <row r="5" spans="1:10" x14ac:dyDescent="0.25">
      <c r="A5" t="s">
        <v>68</v>
      </c>
      <c r="B5" t="s">
        <v>4</v>
      </c>
      <c r="C5" t="str">
        <f t="shared" ref="C5:C64" si="0">A5&amp;"-"&amp;B5</f>
        <v>Dortmund-Aplerbecker Mark</v>
      </c>
      <c r="D5" s="10">
        <v>8.2899999999999991</v>
      </c>
    </row>
    <row r="6" spans="1:10" x14ac:dyDescent="0.25">
      <c r="A6" t="s">
        <v>68</v>
      </c>
      <c r="B6" t="s">
        <v>5</v>
      </c>
      <c r="C6" t="str">
        <f t="shared" si="0"/>
        <v>Dortmund-Asseln</v>
      </c>
      <c r="D6" s="10">
        <v>8.0399999999999991</v>
      </c>
    </row>
    <row r="7" spans="1:10" x14ac:dyDescent="0.25">
      <c r="A7" t="s">
        <v>68</v>
      </c>
      <c r="B7" t="s">
        <v>6</v>
      </c>
      <c r="C7" t="str">
        <f t="shared" si="0"/>
        <v>Dortmund-Barop</v>
      </c>
      <c r="D7" s="10">
        <v>8.08</v>
      </c>
    </row>
    <row r="8" spans="1:10" x14ac:dyDescent="0.25">
      <c r="A8" t="s">
        <v>68</v>
      </c>
      <c r="B8" t="s">
        <v>7</v>
      </c>
      <c r="C8" t="str">
        <f t="shared" si="0"/>
        <v>Dortmund-Benninghofen</v>
      </c>
      <c r="D8" s="10">
        <v>7.06</v>
      </c>
    </row>
    <row r="9" spans="1:10" x14ac:dyDescent="0.25">
      <c r="A9" t="s">
        <v>68</v>
      </c>
      <c r="B9" t="s">
        <v>8</v>
      </c>
      <c r="C9" t="str">
        <f t="shared" si="0"/>
        <v>Dortmund-Berghofen</v>
      </c>
      <c r="D9" s="10">
        <v>8.59</v>
      </c>
    </row>
    <row r="10" spans="1:10" x14ac:dyDescent="0.25">
      <c r="A10" t="s">
        <v>68</v>
      </c>
      <c r="B10" t="s">
        <v>9</v>
      </c>
      <c r="C10" t="str">
        <f t="shared" si="0"/>
        <v>Dortmund-Bittermark</v>
      </c>
      <c r="D10" s="10">
        <v>8.4700000000000006</v>
      </c>
    </row>
    <row r="11" spans="1:10" x14ac:dyDescent="0.25">
      <c r="A11" t="s">
        <v>68</v>
      </c>
      <c r="B11" t="s">
        <v>10</v>
      </c>
      <c r="C11" t="str">
        <f t="shared" si="0"/>
        <v>Dortmund-Bodelschwingh</v>
      </c>
      <c r="D11" s="10">
        <v>7.19</v>
      </c>
    </row>
    <row r="12" spans="1:10" x14ac:dyDescent="0.25">
      <c r="A12" t="s">
        <v>68</v>
      </c>
      <c r="B12" t="s">
        <v>11</v>
      </c>
      <c r="C12" t="str">
        <f t="shared" si="0"/>
        <v>Dortmund-Bövinghausen</v>
      </c>
      <c r="D12" s="10">
        <v>6.07</v>
      </c>
    </row>
    <row r="13" spans="1:10" x14ac:dyDescent="0.25">
      <c r="A13" t="s">
        <v>68</v>
      </c>
      <c r="B13" t="s">
        <v>12</v>
      </c>
      <c r="C13" t="str">
        <f t="shared" si="0"/>
        <v>Dortmund-Brackel</v>
      </c>
      <c r="D13" s="10">
        <v>6.87</v>
      </c>
    </row>
    <row r="14" spans="1:10" x14ac:dyDescent="0.25">
      <c r="A14" t="s">
        <v>68</v>
      </c>
      <c r="B14" t="s">
        <v>13</v>
      </c>
      <c r="C14" t="str">
        <f t="shared" si="0"/>
        <v>Dortmund-Brechten</v>
      </c>
      <c r="D14" s="10">
        <v>7.4</v>
      </c>
    </row>
    <row r="15" spans="1:10" x14ac:dyDescent="0.25">
      <c r="A15" t="s">
        <v>68</v>
      </c>
      <c r="B15" t="s">
        <v>14</v>
      </c>
      <c r="C15" t="str">
        <f t="shared" si="0"/>
        <v>Dortmund-Brünninghausen</v>
      </c>
      <c r="D15" s="10">
        <v>11.21</v>
      </c>
    </row>
    <row r="16" spans="1:10" x14ac:dyDescent="0.25">
      <c r="A16" t="s">
        <v>68</v>
      </c>
      <c r="B16" t="s">
        <v>15</v>
      </c>
      <c r="C16" t="str">
        <f t="shared" si="0"/>
        <v>Dortmund-Derne</v>
      </c>
      <c r="D16" s="10">
        <v>6.74</v>
      </c>
    </row>
    <row r="17" spans="1:4" x14ac:dyDescent="0.25">
      <c r="A17" t="s">
        <v>68</v>
      </c>
      <c r="B17" t="s">
        <v>16</v>
      </c>
      <c r="C17" t="str">
        <f t="shared" si="0"/>
        <v>Dortmund-Dorstfeld</v>
      </c>
      <c r="D17" s="10">
        <v>6.86</v>
      </c>
    </row>
    <row r="18" spans="1:4" x14ac:dyDescent="0.25">
      <c r="A18" t="s">
        <v>68</v>
      </c>
      <c r="B18" t="s">
        <v>17</v>
      </c>
      <c r="C18" t="str">
        <f t="shared" si="0"/>
        <v>Dortmund-Eichlinghofen</v>
      </c>
      <c r="D18" s="10">
        <v>8.32</v>
      </c>
    </row>
    <row r="19" spans="1:4" x14ac:dyDescent="0.25">
      <c r="A19" t="s">
        <v>68</v>
      </c>
      <c r="B19" t="s">
        <v>18</v>
      </c>
      <c r="C19" t="str">
        <f t="shared" si="0"/>
        <v>Dortmund-Eving</v>
      </c>
      <c r="D19" s="10">
        <v>7.48</v>
      </c>
    </row>
    <row r="20" spans="1:4" x14ac:dyDescent="0.25">
      <c r="A20" t="s">
        <v>68</v>
      </c>
      <c r="B20" t="s">
        <v>19</v>
      </c>
      <c r="C20" t="str">
        <f t="shared" si="0"/>
        <v>Dortmund-Höchsten</v>
      </c>
      <c r="D20" s="10">
        <v>8.2200000000000006</v>
      </c>
    </row>
    <row r="21" spans="1:4" x14ac:dyDescent="0.25">
      <c r="A21" t="s">
        <v>68</v>
      </c>
      <c r="B21" t="s">
        <v>20</v>
      </c>
      <c r="C21" t="str">
        <f t="shared" si="0"/>
        <v>Dortmund-Holte</v>
      </c>
      <c r="D21" s="10">
        <v>6.7</v>
      </c>
    </row>
    <row r="22" spans="1:4" x14ac:dyDescent="0.25">
      <c r="A22" t="s">
        <v>68</v>
      </c>
      <c r="B22" t="s">
        <v>21</v>
      </c>
      <c r="C22" t="str">
        <f t="shared" si="0"/>
        <v>Dortmund-Holzen</v>
      </c>
      <c r="D22" s="10">
        <v>6.81</v>
      </c>
    </row>
    <row r="23" spans="1:4" x14ac:dyDescent="0.25">
      <c r="A23" t="s">
        <v>68</v>
      </c>
      <c r="B23" t="s">
        <v>22</v>
      </c>
      <c r="C23" t="str">
        <f t="shared" si="0"/>
        <v>Dortmund-Hombruch</v>
      </c>
      <c r="D23" s="10">
        <v>8.59</v>
      </c>
    </row>
    <row r="24" spans="1:4" x14ac:dyDescent="0.25">
      <c r="A24" t="s">
        <v>68</v>
      </c>
      <c r="B24" t="s">
        <v>23</v>
      </c>
      <c r="C24" t="str">
        <f t="shared" si="0"/>
        <v>Dortmund-Hörde</v>
      </c>
      <c r="D24" s="10">
        <v>8.48</v>
      </c>
    </row>
    <row r="25" spans="1:4" x14ac:dyDescent="0.25">
      <c r="A25" t="s">
        <v>68</v>
      </c>
      <c r="B25" t="s">
        <v>24</v>
      </c>
      <c r="C25" t="str">
        <f t="shared" si="0"/>
        <v>Dortmund-Huckarde</v>
      </c>
      <c r="D25" s="10">
        <v>7.58</v>
      </c>
    </row>
    <row r="26" spans="1:4" x14ac:dyDescent="0.25">
      <c r="A26" t="s">
        <v>68</v>
      </c>
      <c r="B26" t="s">
        <v>25</v>
      </c>
      <c r="C26" t="str">
        <f t="shared" si="0"/>
        <v>Dortmund-Husen</v>
      </c>
      <c r="D26" s="10">
        <v>5.0999999999999996</v>
      </c>
    </row>
    <row r="27" spans="1:4" x14ac:dyDescent="0.25">
      <c r="A27" t="s">
        <v>68</v>
      </c>
      <c r="B27" t="s">
        <v>26</v>
      </c>
      <c r="C27" t="str">
        <f t="shared" si="0"/>
        <v>Dortmund-Innenstadt</v>
      </c>
      <c r="D27" s="10">
        <v>8.2200000000000006</v>
      </c>
    </row>
    <row r="28" spans="1:4" x14ac:dyDescent="0.25">
      <c r="A28" t="s">
        <v>68</v>
      </c>
      <c r="B28" t="s">
        <v>27</v>
      </c>
      <c r="C28" t="str">
        <f t="shared" si="0"/>
        <v>Dortmund-Kemminghausen</v>
      </c>
      <c r="D28" s="10">
        <v>6.26</v>
      </c>
    </row>
    <row r="29" spans="1:4" x14ac:dyDescent="0.25">
      <c r="A29" t="s">
        <v>68</v>
      </c>
      <c r="B29" t="s">
        <v>28</v>
      </c>
      <c r="C29" t="str">
        <f t="shared" si="0"/>
        <v>Dortmund-Kirchderne</v>
      </c>
      <c r="D29" s="10">
        <v>6.82</v>
      </c>
    </row>
    <row r="30" spans="1:4" x14ac:dyDescent="0.25">
      <c r="A30" t="s">
        <v>68</v>
      </c>
      <c r="B30" t="s">
        <v>29</v>
      </c>
      <c r="C30" t="str">
        <f t="shared" si="0"/>
        <v>Dortmund-Kirchhörde</v>
      </c>
      <c r="D30" s="10">
        <v>9.23</v>
      </c>
    </row>
    <row r="31" spans="1:4" x14ac:dyDescent="0.25">
      <c r="A31" t="s">
        <v>68</v>
      </c>
      <c r="B31" t="s">
        <v>30</v>
      </c>
      <c r="C31" t="str">
        <f t="shared" si="0"/>
        <v>Dortmund-Kirchlinde</v>
      </c>
      <c r="D31" s="10">
        <v>6.61</v>
      </c>
    </row>
    <row r="32" spans="1:4" x14ac:dyDescent="0.25">
      <c r="A32" t="s">
        <v>68</v>
      </c>
      <c r="B32" t="s">
        <v>31</v>
      </c>
      <c r="C32" t="str">
        <f t="shared" si="0"/>
        <v>Dortmund-Kleinholthausen</v>
      </c>
      <c r="D32" s="10">
        <v>9.18</v>
      </c>
    </row>
    <row r="33" spans="1:4" x14ac:dyDescent="0.25">
      <c r="A33" t="s">
        <v>68</v>
      </c>
      <c r="B33" t="s">
        <v>32</v>
      </c>
      <c r="C33" t="str">
        <f t="shared" si="0"/>
        <v>Dortmund-Kley</v>
      </c>
      <c r="D33" s="10">
        <v>6.87</v>
      </c>
    </row>
    <row r="34" spans="1:4" x14ac:dyDescent="0.25">
      <c r="A34" t="s">
        <v>68</v>
      </c>
      <c r="B34" t="s">
        <v>33</v>
      </c>
      <c r="C34" t="str">
        <f t="shared" si="0"/>
        <v>Dortmund-Körne</v>
      </c>
      <c r="D34" s="10">
        <v>7.92</v>
      </c>
    </row>
    <row r="35" spans="1:4" x14ac:dyDescent="0.25">
      <c r="A35" t="s">
        <v>68</v>
      </c>
      <c r="B35" t="s">
        <v>34</v>
      </c>
      <c r="C35" t="str">
        <f t="shared" si="0"/>
        <v>Dortmund-Kurl</v>
      </c>
      <c r="D35" s="10">
        <v>6.52</v>
      </c>
    </row>
    <row r="36" spans="1:4" x14ac:dyDescent="0.25">
      <c r="A36" t="s">
        <v>68</v>
      </c>
      <c r="B36" t="s">
        <v>35</v>
      </c>
      <c r="C36" t="str">
        <f t="shared" si="0"/>
        <v>Dortmund-Lanstrop</v>
      </c>
      <c r="D36" s="10">
        <v>6.29</v>
      </c>
    </row>
    <row r="37" spans="1:4" x14ac:dyDescent="0.25">
      <c r="A37" t="s">
        <v>68</v>
      </c>
      <c r="B37" t="s">
        <v>36</v>
      </c>
      <c r="C37" t="str">
        <f t="shared" si="0"/>
        <v>Dortmund-Lichtendorf</v>
      </c>
      <c r="D37" s="10">
        <v>7.13</v>
      </c>
    </row>
    <row r="38" spans="1:4" x14ac:dyDescent="0.25">
      <c r="A38" t="s">
        <v>68</v>
      </c>
      <c r="B38" t="s">
        <v>37</v>
      </c>
      <c r="C38" t="str">
        <f t="shared" si="0"/>
        <v>Dortmund-Lindenhorst</v>
      </c>
      <c r="D38" s="10">
        <v>6.92</v>
      </c>
    </row>
    <row r="39" spans="1:4" x14ac:dyDescent="0.25">
      <c r="A39" t="s">
        <v>68</v>
      </c>
      <c r="B39" t="s">
        <v>38</v>
      </c>
      <c r="C39" t="str">
        <f t="shared" si="0"/>
        <v>Dortmund-Loh</v>
      </c>
      <c r="D39" s="10">
        <v>7.99</v>
      </c>
    </row>
    <row r="40" spans="1:4" x14ac:dyDescent="0.25">
      <c r="A40" t="s">
        <v>68</v>
      </c>
      <c r="B40" t="s">
        <v>39</v>
      </c>
      <c r="C40" t="str">
        <f t="shared" si="0"/>
        <v>Dortmund-Löttringhausen</v>
      </c>
      <c r="D40" s="10">
        <v>7.68</v>
      </c>
    </row>
    <row r="41" spans="1:4" x14ac:dyDescent="0.25">
      <c r="A41" t="s">
        <v>68</v>
      </c>
      <c r="B41" t="s">
        <v>40</v>
      </c>
      <c r="C41" t="str">
        <f t="shared" si="0"/>
        <v>Dortmund-Lücklemberg</v>
      </c>
      <c r="D41" s="10">
        <v>9.58</v>
      </c>
    </row>
    <row r="42" spans="1:4" x14ac:dyDescent="0.25">
      <c r="A42" t="s">
        <v>68</v>
      </c>
      <c r="B42" t="s">
        <v>41</v>
      </c>
      <c r="C42" t="str">
        <f t="shared" si="0"/>
        <v>Dortmund-Lütgendortmund</v>
      </c>
      <c r="D42" s="10">
        <v>7.34</v>
      </c>
    </row>
    <row r="43" spans="1:4" x14ac:dyDescent="0.25">
      <c r="A43" t="s">
        <v>68</v>
      </c>
      <c r="B43" t="s">
        <v>42</v>
      </c>
      <c r="C43" t="str">
        <f t="shared" si="0"/>
        <v>Dortmund-Marten</v>
      </c>
      <c r="D43" s="10">
        <v>6.8</v>
      </c>
    </row>
    <row r="44" spans="1:4" x14ac:dyDescent="0.25">
      <c r="A44" t="s">
        <v>68</v>
      </c>
      <c r="B44" t="s">
        <v>43</v>
      </c>
      <c r="C44" t="str">
        <f t="shared" si="0"/>
        <v>Dortmund-Mengede</v>
      </c>
      <c r="D44" s="10">
        <v>6.98</v>
      </c>
    </row>
    <row r="45" spans="1:4" x14ac:dyDescent="0.25">
      <c r="A45" t="s">
        <v>68</v>
      </c>
      <c r="B45" t="s">
        <v>44</v>
      </c>
      <c r="C45" t="str">
        <f t="shared" si="0"/>
        <v>Dortmund-Menglinghausen</v>
      </c>
      <c r="D45" s="10">
        <v>8.43</v>
      </c>
    </row>
    <row r="46" spans="1:4" x14ac:dyDescent="0.25">
      <c r="A46" t="s">
        <v>68</v>
      </c>
      <c r="B46" t="s">
        <v>45</v>
      </c>
      <c r="C46" t="str">
        <f t="shared" si="0"/>
        <v>Dortmund-Nette</v>
      </c>
      <c r="D46" s="10">
        <v>6.2</v>
      </c>
    </row>
    <row r="47" spans="1:4" x14ac:dyDescent="0.25">
      <c r="A47" t="s">
        <v>68</v>
      </c>
      <c r="B47" t="s">
        <v>46</v>
      </c>
      <c r="C47" t="str">
        <f t="shared" si="0"/>
        <v>Dortmund-Neuasseln</v>
      </c>
      <c r="D47" s="10">
        <v>7.4</v>
      </c>
    </row>
    <row r="48" spans="1:4" x14ac:dyDescent="0.25">
      <c r="A48" t="s">
        <v>68</v>
      </c>
      <c r="B48" t="s">
        <v>47</v>
      </c>
      <c r="C48" t="str">
        <f t="shared" si="0"/>
        <v>Dortmund-Niederhofen</v>
      </c>
      <c r="D48" s="10">
        <v>8.5299999999999994</v>
      </c>
    </row>
    <row r="49" spans="1:4" x14ac:dyDescent="0.25">
      <c r="A49" t="s">
        <v>68</v>
      </c>
      <c r="B49" t="s">
        <v>48</v>
      </c>
      <c r="C49" t="str">
        <f t="shared" si="0"/>
        <v>Dortmund-Oespel</v>
      </c>
      <c r="D49" s="10">
        <v>7.42</v>
      </c>
    </row>
    <row r="50" spans="1:4" x14ac:dyDescent="0.25">
      <c r="A50" t="s">
        <v>68</v>
      </c>
      <c r="B50" t="s">
        <v>49</v>
      </c>
      <c r="C50" t="str">
        <f t="shared" si="0"/>
        <v>Dortmund-Oestrich</v>
      </c>
      <c r="D50" s="10">
        <v>6.96</v>
      </c>
    </row>
    <row r="51" spans="1:4" x14ac:dyDescent="0.25">
      <c r="A51" t="s">
        <v>68</v>
      </c>
      <c r="B51" t="s">
        <v>50</v>
      </c>
      <c r="C51" t="str">
        <f t="shared" si="0"/>
        <v>Dortmund-Persebeck</v>
      </c>
      <c r="D51" s="10">
        <v>6.71</v>
      </c>
    </row>
    <row r="52" spans="1:4" x14ac:dyDescent="0.25">
      <c r="A52" t="s">
        <v>68</v>
      </c>
      <c r="B52" t="s">
        <v>51</v>
      </c>
      <c r="C52" t="str">
        <f t="shared" si="0"/>
        <v>Dortmund-Rahm</v>
      </c>
      <c r="D52" s="10">
        <v>6.99</v>
      </c>
    </row>
    <row r="53" spans="1:4" x14ac:dyDescent="0.25">
      <c r="A53" t="s">
        <v>68</v>
      </c>
      <c r="B53" t="s">
        <v>52</v>
      </c>
      <c r="C53" t="str">
        <f t="shared" si="0"/>
        <v>Dortmund-Renninghausen</v>
      </c>
      <c r="D53" s="10">
        <v>7.19</v>
      </c>
    </row>
    <row r="54" spans="1:4" x14ac:dyDescent="0.25">
      <c r="A54" t="s">
        <v>68</v>
      </c>
      <c r="B54" t="s">
        <v>53</v>
      </c>
      <c r="C54" t="str">
        <f t="shared" si="0"/>
        <v>Dortmund-Scharnhorst</v>
      </c>
      <c r="D54" s="10">
        <v>6.63</v>
      </c>
    </row>
    <row r="55" spans="1:4" x14ac:dyDescent="0.25">
      <c r="A55" t="s">
        <v>68</v>
      </c>
      <c r="B55" t="s">
        <v>54</v>
      </c>
      <c r="C55" t="str">
        <f t="shared" si="0"/>
        <v>Dortmund-Schüren</v>
      </c>
      <c r="D55" s="10">
        <v>9.35</v>
      </c>
    </row>
    <row r="56" spans="1:4" x14ac:dyDescent="0.25">
      <c r="A56" t="s">
        <v>68</v>
      </c>
      <c r="B56" t="s">
        <v>55</v>
      </c>
      <c r="C56" t="str">
        <f t="shared" si="0"/>
        <v>Dortmund-Sölde</v>
      </c>
      <c r="D56" s="10">
        <v>7.11</v>
      </c>
    </row>
    <row r="57" spans="1:4" x14ac:dyDescent="0.25">
      <c r="A57" t="s">
        <v>68</v>
      </c>
      <c r="B57" t="s">
        <v>56</v>
      </c>
      <c r="C57" t="str">
        <f t="shared" si="0"/>
        <v>Dortmund-Sölderholz</v>
      </c>
      <c r="D57" s="10">
        <v>7.31</v>
      </c>
    </row>
    <row r="58" spans="1:4" x14ac:dyDescent="0.25">
      <c r="A58" t="s">
        <v>68</v>
      </c>
      <c r="B58" t="s">
        <v>57</v>
      </c>
      <c r="C58" t="str">
        <f t="shared" si="0"/>
        <v>Dortmund-Sommerberg</v>
      </c>
      <c r="D58" s="10">
        <v>10.220000000000001</v>
      </c>
    </row>
    <row r="59" spans="1:4" x14ac:dyDescent="0.25">
      <c r="A59" t="s">
        <v>68</v>
      </c>
      <c r="B59" t="s">
        <v>58</v>
      </c>
      <c r="C59" t="str">
        <f t="shared" si="0"/>
        <v>Dortmund-Wambel</v>
      </c>
      <c r="D59" s="10">
        <v>7.66</v>
      </c>
    </row>
    <row r="60" spans="1:4" x14ac:dyDescent="0.25">
      <c r="A60" t="s">
        <v>68</v>
      </c>
      <c r="B60" t="s">
        <v>59</v>
      </c>
      <c r="C60" t="str">
        <f t="shared" si="0"/>
        <v>Dortmund-Wellinghofen</v>
      </c>
      <c r="D60" s="10">
        <v>8.08</v>
      </c>
    </row>
    <row r="61" spans="1:4" x14ac:dyDescent="0.25">
      <c r="A61" t="s">
        <v>68</v>
      </c>
      <c r="B61" t="s">
        <v>60</v>
      </c>
      <c r="C61" t="str">
        <f t="shared" si="0"/>
        <v>Dortmund-Westerfilde</v>
      </c>
      <c r="D61" s="10">
        <v>6.68</v>
      </c>
    </row>
    <row r="62" spans="1:4" x14ac:dyDescent="0.25">
      <c r="A62" t="s">
        <v>68</v>
      </c>
      <c r="B62" t="s">
        <v>61</v>
      </c>
      <c r="C62" t="str">
        <f t="shared" si="0"/>
        <v>Dortmund-Wichlinghofen</v>
      </c>
      <c r="D62" s="10">
        <v>8.2899999999999991</v>
      </c>
    </row>
    <row r="63" spans="1:4" x14ac:dyDescent="0.25">
      <c r="A63" t="s">
        <v>68</v>
      </c>
      <c r="B63" t="s">
        <v>62</v>
      </c>
      <c r="C63" t="str">
        <f t="shared" si="0"/>
        <v>Dortmund-Wickede</v>
      </c>
      <c r="D63" s="10">
        <v>6.54</v>
      </c>
    </row>
    <row r="64" spans="1:4" x14ac:dyDescent="0.25">
      <c r="A64" t="s">
        <v>68</v>
      </c>
      <c r="B64" t="s">
        <v>63</v>
      </c>
      <c r="C64" t="str">
        <f t="shared" si="0"/>
        <v>Dortmund-Wischlingen</v>
      </c>
      <c r="D64" s="10">
        <v>8.0299999999999994</v>
      </c>
    </row>
  </sheetData>
  <mergeCells count="1">
    <mergeCell ref="H4:J4"/>
  </mergeCells>
  <hyperlinks>
    <hyperlink ref="B1" r:id="rId1" xr:uid="{00000000-0004-0000-0300-000000000000}"/>
  </hyperlinks>
  <pageMargins left="0.7" right="0.7" top="0.78740157499999996" bottom="0.78740157499999996" header="0.3" footer="0.3"/>
  <pageSetup paperSize="9" orientation="portrait" r:id="rId2"/>
  <customProperties>
    <customPr name="_pios_id"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B02522C-B4FE-4D9C-B9B4-0ABFEF9E046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4</vt:i4>
      </vt:variant>
    </vt:vector>
  </HeadingPairs>
  <TitlesOfParts>
    <vt:vector size="4" baseType="lpstr">
      <vt:lpstr>KeyFigures</vt:lpstr>
      <vt:lpstr>Scraper_XL</vt:lpstr>
      <vt:lpstr>Annuitaet</vt:lpstr>
      <vt:lpstr>MD - Miete pro m2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CLV Mobile</dc:creator>
  <cp:lastModifiedBy>Dim Ry</cp:lastModifiedBy>
  <dcterms:created xsi:type="dcterms:W3CDTF">2016-05-17T15:19:56Z</dcterms:created>
  <dcterms:modified xsi:type="dcterms:W3CDTF">2020-06-04T09:00:46Z</dcterms:modified>
</cp:coreProperties>
</file>